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enutzer\Matos Miguel\PostDoc ECPVS\3D Omics Adenovirus\Sampling and Data\"/>
    </mc:Choice>
  </mc:AlternateContent>
  <xr:revisionPtr revIDLastSave="0" documentId="13_ncr:1_{C5BB5F1D-914E-4ADB-A3A0-CA046E18EB2A}" xr6:coauthVersionLast="47" xr6:coauthVersionMax="47" xr10:uidLastSave="{00000000-0000-0000-0000-000000000000}"/>
  <bookViews>
    <workbookView xWindow="28680" yWindow="-120" windowWidth="29040" windowHeight="15720" xr2:uid="{A3DB7E6D-D95A-4FCF-A1A5-CCC5514FA6CA}"/>
  </bookViews>
  <sheets>
    <sheet name="All" sheetId="1" r:id="rId1"/>
    <sheet name="Viral load Liver" sheetId="3" r:id="rId2"/>
    <sheet name="Viral Load Spleen" sheetId="4" r:id="rId3"/>
    <sheet name="BW Broilers" sheetId="5" r:id="rId4"/>
    <sheet name="BW Layers" sheetId="6" r:id="rId5"/>
    <sheet name="Sheet3" sheetId="7" r:id="rId6"/>
  </sheets>
  <definedNames>
    <definedName name="_xlchart.v1.0" hidden="1">'Viral load Liver'!$C$2:$C$26</definedName>
    <definedName name="_xlchart.v1.1" hidden="1">'Viral load Liver'!$D$1</definedName>
    <definedName name="_xlchart.v1.10" hidden="1">'Viral load Liver'!$H$2:$H$26</definedName>
    <definedName name="_xlchart.v1.11" hidden="1">'Viral load Liver'!$I$1</definedName>
    <definedName name="_xlchart.v1.12" hidden="1">'Viral load Liver'!$I$2:$I$26</definedName>
    <definedName name="_xlchart.v1.13" hidden="1">'Viral Load Spleen'!$A$2:$A$26</definedName>
    <definedName name="_xlchart.v1.14" hidden="1">'Viral Load Spleen'!$B$1</definedName>
    <definedName name="_xlchart.v1.15" hidden="1">'Viral Load Spleen'!$B$2:$B$26</definedName>
    <definedName name="_xlchart.v1.16" hidden="1">'Viral Load Spleen'!$C$1</definedName>
    <definedName name="_xlchart.v1.17" hidden="1">'Viral Load Spleen'!$C$2:$C$26</definedName>
    <definedName name="_xlchart.v1.18" hidden="1">'Viral Load Spleen'!$D$1</definedName>
    <definedName name="_xlchart.v1.19" hidden="1">'Viral Load Spleen'!$D$2:$D$26</definedName>
    <definedName name="_xlchart.v1.2" hidden="1">'Viral load Liver'!$D$2:$D$26</definedName>
    <definedName name="_xlchart.v1.20" hidden="1">'Viral Load Spleen'!$E$1</definedName>
    <definedName name="_xlchart.v1.21" hidden="1">'Viral Load Spleen'!$E$2:$E$26</definedName>
    <definedName name="_xlchart.v1.22" hidden="1">'Viral Load Spleen'!$F$1</definedName>
    <definedName name="_xlchart.v1.23" hidden="1">'Viral Load Spleen'!$F$2:$F$26</definedName>
    <definedName name="_xlchart.v1.24" hidden="1">'Viral Load Spleen'!$G$1</definedName>
    <definedName name="_xlchart.v1.25" hidden="1">'Viral Load Spleen'!$G$2:$G$26</definedName>
    <definedName name="_xlchart.v1.3" hidden="1">'Viral load Liver'!$E$1</definedName>
    <definedName name="_xlchart.v1.4" hidden="1">'Viral load Liver'!$E$2:$E$26</definedName>
    <definedName name="_xlchart.v1.5" hidden="1">'Viral load Liver'!$F$1</definedName>
    <definedName name="_xlchart.v1.6" hidden="1">'Viral load Liver'!$F$2:$F$26</definedName>
    <definedName name="_xlchart.v1.7" hidden="1">'Viral load Liver'!$G$1</definedName>
    <definedName name="_xlchart.v1.8" hidden="1">'Viral load Liver'!$G$2:$G$26</definedName>
    <definedName name="_xlchart.v1.9" hidden="1">'Viral load Liver'!$H$1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2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1" i="1"/>
  <c r="P12" i="1"/>
  <c r="P13" i="1"/>
  <c r="P7" i="1"/>
  <c r="P8" i="1"/>
  <c r="P9" i="1"/>
  <c r="P10" i="1"/>
  <c r="P3" i="1"/>
  <c r="P4" i="1"/>
  <c r="P5" i="1"/>
  <c r="P6" i="1"/>
  <c r="P2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B113" i="1"/>
  <c r="M113" i="1"/>
  <c r="N113" i="1"/>
  <c r="M114" i="1"/>
  <c r="N114" i="1"/>
  <c r="M115" i="1"/>
  <c r="N115" i="1"/>
  <c r="B116" i="1"/>
  <c r="B117" i="1" s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100" i="1"/>
  <c r="N101" i="1"/>
  <c r="N102" i="1"/>
  <c r="N103" i="1"/>
  <c r="N104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100" i="1"/>
  <c r="M101" i="1"/>
  <c r="M102" i="1"/>
  <c r="M103" i="1"/>
  <c r="M104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N3" i="1"/>
  <c r="N4" i="1"/>
  <c r="N5" i="1"/>
  <c r="N6" i="1"/>
  <c r="N2" i="1"/>
  <c r="M3" i="1"/>
  <c r="M4" i="1"/>
  <c r="M5" i="1"/>
  <c r="M6" i="1"/>
  <c r="M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101" i="1" l="1"/>
  <c r="B102" i="1" s="1"/>
  <c r="B103" i="1" s="1"/>
  <c r="B104" i="1" s="1"/>
  <c r="B105" i="1" s="1"/>
  <c r="B106" i="1" s="1"/>
  <c r="B107" i="1" s="1"/>
  <c r="B108" i="1" s="1"/>
  <c r="B109" i="1" s="1"/>
  <c r="B82" i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82" i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24" i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B124" i="1"/>
  <c r="B125" i="1" s="1"/>
  <c r="B126" i="1" s="1"/>
  <c r="B127" i="1" s="1"/>
  <c r="B128" i="1" s="1"/>
  <c r="B129" i="1" s="1"/>
  <c r="B130" i="1" s="1"/>
  <c r="B131" i="1" s="1"/>
  <c r="B132" i="1" s="1"/>
  <c r="B134" i="1" s="1"/>
  <c r="B135" i="1" s="1"/>
  <c r="B136" i="1" s="1"/>
  <c r="B137" i="1" s="1"/>
  <c r="B143" i="1" s="1"/>
  <c r="B144" i="1" s="1"/>
  <c r="B145" i="1" s="1"/>
</calcChain>
</file>

<file path=xl/sharedStrings.xml><?xml version="1.0" encoding="utf-8"?>
<sst xmlns="http://schemas.openxmlformats.org/spreadsheetml/2006/main" count="778" uniqueCount="51">
  <si>
    <t>Tag nr.</t>
  </si>
  <si>
    <t>Group</t>
  </si>
  <si>
    <t>ID</t>
  </si>
  <si>
    <t>DPI</t>
  </si>
  <si>
    <t>BW (g)</t>
  </si>
  <si>
    <t>Sex</t>
  </si>
  <si>
    <t>TF1-B</t>
  </si>
  <si>
    <t>TF2-B</t>
  </si>
  <si>
    <t>TF3-B</t>
  </si>
  <si>
    <t>TF1-L</t>
  </si>
  <si>
    <t>TF2-L</t>
  </si>
  <si>
    <t>TF3-L</t>
  </si>
  <si>
    <t>female</t>
  </si>
  <si>
    <t>male</t>
  </si>
  <si>
    <t>Liver weight (g)</t>
  </si>
  <si>
    <t>Spleen weight (g)</t>
  </si>
  <si>
    <t>LW/BW (%)</t>
  </si>
  <si>
    <t>Sp/BW (%)</t>
  </si>
  <si>
    <t>812</t>
  </si>
  <si>
    <t>911</t>
  </si>
  <si>
    <t>819</t>
  </si>
  <si>
    <t>816</t>
  </si>
  <si>
    <t>822</t>
  </si>
  <si>
    <t>842</t>
  </si>
  <si>
    <t>821</t>
  </si>
  <si>
    <t>814</t>
  </si>
  <si>
    <t>815</t>
  </si>
  <si>
    <t>841</t>
  </si>
  <si>
    <t>840</t>
  </si>
  <si>
    <t>839</t>
  </si>
  <si>
    <t>838</t>
  </si>
  <si>
    <t>847</t>
  </si>
  <si>
    <t>823</t>
  </si>
  <si>
    <t>813</t>
  </si>
  <si>
    <t>826</t>
  </si>
  <si>
    <t>801</t>
  </si>
  <si>
    <t>Age (days)</t>
  </si>
  <si>
    <t>Chicken breed (origin)</t>
  </si>
  <si>
    <t>SPF broiler (GD Animal Health-NL)</t>
  </si>
  <si>
    <t>SPF layer (VALO-DE)</t>
  </si>
  <si>
    <t>Viral Load (Liver)</t>
  </si>
  <si>
    <t>Viral Load (Spleen)</t>
  </si>
  <si>
    <t>Breed</t>
  </si>
  <si>
    <t>Treatment</t>
  </si>
  <si>
    <t>Broiler</t>
  </si>
  <si>
    <t>Layer</t>
  </si>
  <si>
    <t>FAdV</t>
  </si>
  <si>
    <t>FAdV+AB</t>
  </si>
  <si>
    <t>Control</t>
  </si>
  <si>
    <t>Viral Load Log10 (Spleen)</t>
  </si>
  <si>
    <r>
      <t>Viral Load Log</t>
    </r>
    <r>
      <rPr>
        <vertAlign val="subscript"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(Liver)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</si>
</sst>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 applyFill="1"/>
    <xf numFmtId="49" fontId="0" fillId="0" borderId="0" xfId="0" applyNumberFormat="1" applyFill="1"/>
    <xf numFmtId="0" fontId="0" fillId="0" borderId="0" xfId="0" applyFill="1"/>
    <xf numFmtId="164" fontId="0" fillId="0" borderId="0" xfId="0" applyNumberFormat="1" applyFill="1"/>
    <xf numFmtId="0" fontId="0" fillId="2" borderId="1" xfId="0" applyFill="1" applyBorder="1" applyAlignment="1">
      <alignment horizontal="right"/>
    </xf>
    <xf numFmtId="11" fontId="0" fillId="0" borderId="0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1" xfId="0" applyBorder="1" applyAlignment="1">
      <alignment horizontal="right"/>
    </xf>
    <xf numFmtId="11" fontId="0" fillId="0" borderId="0" xfId="0" applyNumberFormat="1"/>
    <xf numFmtId="49" fontId="0" fillId="2" borderId="1" xfId="0" applyNumberFormat="1" applyFill="1" applyBorder="1" applyAlignment="1">
      <alignment horizontal="right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</cx:chartData>
  <cx:chart>
    <cx:title pos="t" align="ctr" overlay="0">
      <cx:tx>
        <cx:txData>
          <cx:v>Liver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Liver</a:t>
          </a:r>
        </a:p>
      </cx:txPr>
    </cx:title>
    <cx:plotArea>
      <cx:plotAreaRegion>
        <cx:series layoutId="boxWhisker" uniqueId="{F8B831FE-DE05-400C-AAB0-F764DEFB98F1}" formatIdx="1">
          <cx:tx>
            <cx:txData>
              <cx:f>_xlchart.v1.1</cx:f>
              <cx:v>TF1-B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7F3DE35-5178-4910-9C78-1E33675220B7}" formatIdx="2">
          <cx:tx>
            <cx:txData>
              <cx:f>_xlchart.v1.3</cx:f>
              <cx:v>TF2-B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19FECC1-8125-4106-AD7D-922494D4786C}" formatIdx="3">
          <cx:tx>
            <cx:txData>
              <cx:f>_xlchart.v1.5</cx:f>
              <cx:v>TF3-B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A517CDA-7CFC-4B97-96A3-5ABAAB188F27}" formatIdx="4">
          <cx:tx>
            <cx:txData>
              <cx:f>_xlchart.v1.7</cx:f>
              <cx:v>TF1-L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713D2A3-68DC-4480-B494-E011767BD07B}" formatIdx="5">
          <cx:tx>
            <cx:txData>
              <cx:f>_xlchart.v1.9</cx:f>
              <cx:v>TF2-L</cx:v>
            </cx:txData>
          </cx:tx>
          <cx:spPr>
            <a:solidFill>
              <a:schemeClr val="accent5">
                <a:lumMod val="40000"/>
                <a:lumOff val="60000"/>
              </a:schemeClr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11B6FD1-4D1A-4C41-BB3A-F2A28EE8F067}" formatIdx="6">
          <cx:tx>
            <cx:txData>
              <cx:f>_xlchart.v1.11</cx:f>
              <cx:v>TF3-L</cx:v>
            </cx:txData>
          </cx:tx>
          <cx:spPr>
            <a:solidFill>
              <a:schemeClr val="accent5">
                <a:lumMod val="75000"/>
              </a:schemeClr>
            </a:solidFill>
          </cx:spPr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349999994"/>
        <cx:title>
          <cx:tx>
            <cx:txData>
              <cx:v>Day post infecion (dpi)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Day post infecion (dpi)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LID4096" sz="1200"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r>
                  <a:rPr lang="en-US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Viral copies/reaction (Log</a:t>
                </a:r>
                <a:r>
                  <a:rPr lang="en-US" sz="1200" b="0" i="0" u="none" strike="noStrike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10</a:t>
                </a:r>
                <a:r>
                  <a:rPr lang="en-US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)</a:t>
                </a: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LID4096" sz="1200"/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  <cx:data id="1">
      <cx:strDim type="cat">
        <cx:f>_xlchart.v1.13</cx:f>
      </cx:strDim>
      <cx:numDim type="val">
        <cx:f>_xlchart.v1.17</cx:f>
      </cx:numDim>
    </cx:data>
    <cx:data id="2">
      <cx:strDim type="cat">
        <cx:f>_xlchart.v1.13</cx:f>
      </cx:strDim>
      <cx:numDim type="val">
        <cx:f>_xlchart.v1.19</cx:f>
      </cx:numDim>
    </cx:data>
    <cx:data id="3">
      <cx:strDim type="cat">
        <cx:f>_xlchart.v1.13</cx:f>
      </cx:strDim>
      <cx:numDim type="val">
        <cx:f>_xlchart.v1.21</cx:f>
      </cx:numDim>
    </cx:data>
    <cx:data id="4">
      <cx:strDim type="cat">
        <cx:f>_xlchart.v1.13</cx:f>
      </cx:strDim>
      <cx:numDim type="val">
        <cx:f>_xlchart.v1.23</cx:f>
      </cx:numDim>
    </cx:data>
    <cx:data id="5">
      <cx:strDim type="cat">
        <cx:f>_xlchart.v1.13</cx:f>
      </cx:strDim>
      <cx:numDim type="val">
        <cx:f>_xlchart.v1.25</cx:f>
      </cx:numDim>
    </cx:data>
  </cx:chartData>
  <cx:chart>
    <cx:title pos="t" align="ctr" overlay="0">
      <cx:tx>
        <cx:txData>
          <cx:v>Spleen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Spleen</a:t>
          </a:r>
        </a:p>
      </cx:txPr>
    </cx:title>
    <cx:plotArea>
      <cx:plotAreaRegion>
        <cx:plotSurface>
          <cx:spPr>
            <a:ln w="0">
              <a:solidFill>
                <a:schemeClr val="tx1"/>
              </a:solidFill>
            </a:ln>
          </cx:spPr>
        </cx:plotSurface>
        <cx:series layoutId="boxWhisker" uniqueId="{546EB2E9-3505-4956-8995-59A794F5A214}" formatIdx="1">
          <cx:tx>
            <cx:txData>
              <cx:f>_xlchart.v1.14</cx:f>
              <cx:v>TF1-B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C56A486-DE5E-4211-B9BE-339D7B704EEC}" formatIdx="2">
          <cx:tx>
            <cx:txData>
              <cx:f>_xlchart.v1.16</cx:f>
              <cx:v>TF2-B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C3749E7-6EA3-434B-9691-A1396E2760E8}" formatIdx="3">
          <cx:tx>
            <cx:txData>
              <cx:f>_xlchart.v1.18</cx:f>
              <cx:v>TF3-B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1903CA1-5B10-4F0B-AE70-9C6C5E4EC0DE}" formatIdx="4">
          <cx:tx>
            <cx:txData>
              <cx:f>_xlchart.v1.20</cx:f>
              <cx:v>TF1-L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E9F02CD-B671-49D7-8754-68DD21E1DDDC}" formatIdx="5">
          <cx:tx>
            <cx:txData>
              <cx:f>_xlchart.v1.22</cx:f>
              <cx:v>TF2-L</cx:v>
            </cx:txData>
          </cx:tx>
          <cx:spPr>
            <a:solidFill>
              <a:schemeClr val="accent5">
                <a:lumMod val="40000"/>
                <a:lumOff val="60000"/>
              </a:schemeClr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26B21EF-A0D3-4D49-A8F0-9B5E420F567A}" formatIdx="6">
          <cx:tx>
            <cx:txData>
              <cx:f>_xlchart.v1.24</cx:f>
              <cx:v>TF3-L</cx:v>
            </cx:txData>
          </cx:tx>
          <cx:spPr>
            <a:solidFill>
              <a:schemeClr val="accent5">
                <a:lumMod val="75000"/>
              </a:schemeClr>
            </a:solidFill>
          </cx:spPr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349999994"/>
        <cx:title>
          <cx:tx>
            <cx:txData>
              <cx:v>Day post infection (dpi)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Day post infection (dpi)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LID4096" sz="1200"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/>
                </a:pPr>
                <a:r>
                  <a:rPr 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Viral Copies/reaction (Log</a:t>
                </a:r>
                <a:r>
                  <a:rPr lang="en-US" sz="1100" b="0" i="0" u="none" strike="noStrike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10</a:t>
                </a:r>
                <a:r>
                  <a:rPr lang="en-US" sz="11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)</a:t>
                </a: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LID4096" sz="1200"/>
          </a:p>
        </cx:txPr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133351</xdr:colOff>
      <xdr:row>1</xdr:row>
      <xdr:rowOff>133350</xdr:rowOff>
    </xdr:from>
    <xdr:to>
      <xdr:col>21</xdr:col>
      <xdr:colOff>428625</xdr:colOff>
      <xdr:row>26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8C967F2-BDAB-00A7-8F20-ACC66F631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1" y="323850"/>
              <a:ext cx="7000874" cy="4781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0</xdr:row>
      <xdr:rowOff>185736</xdr:rowOff>
    </xdr:from>
    <xdr:to>
      <xdr:col>20</xdr:col>
      <xdr:colOff>361950</xdr:colOff>
      <xdr:row>25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A5DE923-DD72-3071-C91A-F2889DD26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1162" y="185736"/>
              <a:ext cx="7062788" cy="4633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A08E-7A34-4A07-B82D-C7692B47B107}">
  <dimension ref="A1:AB151"/>
  <sheetViews>
    <sheetView tabSelected="1" topLeftCell="E10" workbookViewId="0">
      <selection activeCell="J2" sqref="J2:J45"/>
    </sheetView>
  </sheetViews>
  <sheetFormatPr defaultRowHeight="15" x14ac:dyDescent="0.25"/>
  <cols>
    <col min="5" max="5" width="11" customWidth="1"/>
    <col min="6" max="6" width="31" customWidth="1"/>
    <col min="7" max="7" width="10" customWidth="1"/>
    <col min="11" max="11" width="14" customWidth="1"/>
    <col min="12" max="12" width="15.7109375" customWidth="1"/>
    <col min="13" max="14" width="10.7109375" customWidth="1"/>
    <col min="15" max="16" width="17.42578125" style="9" customWidth="1"/>
    <col min="17" max="17" width="17" customWidth="1"/>
    <col min="25" max="25" width="10.7109375" customWidth="1"/>
    <col min="26" max="26" width="10" customWidth="1"/>
  </cols>
  <sheetData>
    <row r="1" spans="1:28" s="9" customFormat="1" ht="18" x14ac:dyDescent="0.35">
      <c r="A1" s="7" t="s">
        <v>2</v>
      </c>
      <c r="B1" s="7" t="s">
        <v>0</v>
      </c>
      <c r="C1" s="7" t="s">
        <v>1</v>
      </c>
      <c r="D1" s="7" t="s">
        <v>42</v>
      </c>
      <c r="E1" s="7" t="s">
        <v>43</v>
      </c>
      <c r="F1" s="7" t="s">
        <v>37</v>
      </c>
      <c r="G1" s="7" t="s">
        <v>36</v>
      </c>
      <c r="H1" s="7" t="s">
        <v>3</v>
      </c>
      <c r="I1" s="7" t="s">
        <v>5</v>
      </c>
      <c r="J1" s="7" t="s">
        <v>4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40</v>
      </c>
      <c r="P1" s="7" t="s">
        <v>50</v>
      </c>
      <c r="Q1" s="7" t="s">
        <v>41</v>
      </c>
      <c r="R1" s="7" t="s">
        <v>49</v>
      </c>
      <c r="S1" s="7"/>
      <c r="T1" s="7"/>
      <c r="U1" s="11"/>
      <c r="V1" s="11"/>
      <c r="W1" s="11"/>
      <c r="X1" s="11"/>
      <c r="Y1" s="11"/>
    </row>
    <row r="2" spans="1:28" x14ac:dyDescent="0.25">
      <c r="A2" s="1">
        <v>1</v>
      </c>
      <c r="B2" s="1">
        <v>701</v>
      </c>
      <c r="C2" t="s">
        <v>6</v>
      </c>
      <c r="D2" t="s">
        <v>44</v>
      </c>
      <c r="E2" t="s">
        <v>46</v>
      </c>
      <c r="F2" t="s">
        <v>38</v>
      </c>
      <c r="G2">
        <v>14</v>
      </c>
      <c r="H2">
        <v>0</v>
      </c>
      <c r="I2" t="s">
        <v>12</v>
      </c>
      <c r="J2" s="2">
        <v>290</v>
      </c>
      <c r="K2" s="2">
        <v>14.135</v>
      </c>
      <c r="L2" s="2">
        <v>0.26</v>
      </c>
      <c r="M2" s="2">
        <f t="shared" ref="M2:M33" si="0">(K2/J2)*100</f>
        <v>4.8741379310344826</v>
      </c>
      <c r="N2" s="2">
        <f t="shared" ref="N2:N33" si="1">(L2/J2)*100</f>
        <v>8.9655172413793102E-2</v>
      </c>
      <c r="O2" s="8">
        <v>1</v>
      </c>
      <c r="P2" s="8">
        <f>LOG10(O2)</f>
        <v>0</v>
      </c>
      <c r="Q2" s="8">
        <v>1</v>
      </c>
      <c r="R2" s="12">
        <f>LOG10(Q2)</f>
        <v>0</v>
      </c>
      <c r="X2" s="2"/>
      <c r="Z2" s="2"/>
      <c r="AB2" s="2"/>
    </row>
    <row r="3" spans="1:28" x14ac:dyDescent="0.25">
      <c r="A3" s="1">
        <f>A2+1</f>
        <v>2</v>
      </c>
      <c r="B3" s="1">
        <f>B2+1</f>
        <v>702</v>
      </c>
      <c r="C3" t="s">
        <v>6</v>
      </c>
      <c r="D3" t="s">
        <v>44</v>
      </c>
      <c r="E3" t="s">
        <v>46</v>
      </c>
      <c r="F3" t="s">
        <v>38</v>
      </c>
      <c r="G3">
        <v>14</v>
      </c>
      <c r="H3">
        <v>0</v>
      </c>
      <c r="I3" t="s">
        <v>13</v>
      </c>
      <c r="J3" s="2">
        <v>370</v>
      </c>
      <c r="K3" s="2">
        <v>15.815</v>
      </c>
      <c r="L3" s="2">
        <v>0.317</v>
      </c>
      <c r="M3" s="2">
        <f t="shared" si="0"/>
        <v>4.2743243243243247</v>
      </c>
      <c r="N3" s="2">
        <f t="shared" si="1"/>
        <v>8.5675675675675675E-2</v>
      </c>
      <c r="O3" s="8">
        <v>1</v>
      </c>
      <c r="P3" s="8">
        <f t="shared" ref="P3:P66" si="2">LOG10(O3)</f>
        <v>0</v>
      </c>
      <c r="Q3" s="8">
        <v>1</v>
      </c>
      <c r="R3" s="12">
        <f t="shared" ref="R3:R66" si="3">LOG10(Q3)</f>
        <v>0</v>
      </c>
      <c r="X3" s="2"/>
      <c r="Z3" s="2"/>
      <c r="AB3" s="2"/>
    </row>
    <row r="4" spans="1:28" x14ac:dyDescent="0.25">
      <c r="A4" s="1">
        <f t="shared" ref="A4:A67" si="4">A3+1</f>
        <v>3</v>
      </c>
      <c r="B4" s="1">
        <f>B3+1</f>
        <v>703</v>
      </c>
      <c r="C4" t="s">
        <v>6</v>
      </c>
      <c r="D4" t="s">
        <v>44</v>
      </c>
      <c r="E4" t="s">
        <v>46</v>
      </c>
      <c r="F4" t="s">
        <v>38</v>
      </c>
      <c r="G4">
        <v>14</v>
      </c>
      <c r="H4">
        <v>0</v>
      </c>
      <c r="I4" t="s">
        <v>12</v>
      </c>
      <c r="J4" s="2">
        <v>285</v>
      </c>
      <c r="K4" s="2">
        <v>12.37</v>
      </c>
      <c r="L4" s="2">
        <v>0.255</v>
      </c>
      <c r="M4" s="2">
        <f t="shared" si="0"/>
        <v>4.3403508771929822</v>
      </c>
      <c r="N4" s="2">
        <f t="shared" si="1"/>
        <v>8.9473684210526316E-2</v>
      </c>
      <c r="O4" s="8">
        <v>1</v>
      </c>
      <c r="P4" s="8">
        <f t="shared" si="2"/>
        <v>0</v>
      </c>
      <c r="Q4" s="8">
        <v>1</v>
      </c>
      <c r="R4" s="12">
        <f t="shared" si="3"/>
        <v>0</v>
      </c>
      <c r="X4" s="2"/>
      <c r="Z4" s="2"/>
      <c r="AB4" s="2"/>
    </row>
    <row r="5" spans="1:28" x14ac:dyDescent="0.25">
      <c r="A5" s="1">
        <f t="shared" si="4"/>
        <v>4</v>
      </c>
      <c r="B5" s="1">
        <f t="shared" ref="B5:B68" si="5">B4+1</f>
        <v>704</v>
      </c>
      <c r="C5" t="s">
        <v>6</v>
      </c>
      <c r="D5" t="s">
        <v>44</v>
      </c>
      <c r="E5" t="s">
        <v>46</v>
      </c>
      <c r="F5" t="s">
        <v>38</v>
      </c>
      <c r="G5">
        <v>14</v>
      </c>
      <c r="H5">
        <v>0</v>
      </c>
      <c r="I5" t="s">
        <v>13</v>
      </c>
      <c r="J5" s="2">
        <v>370</v>
      </c>
      <c r="K5" s="2">
        <v>14.823</v>
      </c>
      <c r="L5" s="2">
        <v>0.25700000000000001</v>
      </c>
      <c r="M5" s="2">
        <f t="shared" si="0"/>
        <v>4.0062162162162167</v>
      </c>
      <c r="N5" s="2">
        <f t="shared" si="1"/>
        <v>6.9459459459459458E-2</v>
      </c>
      <c r="O5" s="8">
        <v>1</v>
      </c>
      <c r="P5" s="8">
        <f t="shared" si="2"/>
        <v>0</v>
      </c>
      <c r="Q5" s="8">
        <v>1</v>
      </c>
      <c r="R5" s="12">
        <f t="shared" si="3"/>
        <v>0</v>
      </c>
      <c r="X5" s="2"/>
      <c r="Z5" s="2"/>
      <c r="AB5" s="2"/>
    </row>
    <row r="6" spans="1:28" x14ac:dyDescent="0.25">
      <c r="A6" s="1">
        <f t="shared" si="4"/>
        <v>5</v>
      </c>
      <c r="B6" s="1">
        <f t="shared" si="5"/>
        <v>705</v>
      </c>
      <c r="C6" t="s">
        <v>6</v>
      </c>
      <c r="D6" t="s">
        <v>44</v>
      </c>
      <c r="E6" t="s">
        <v>46</v>
      </c>
      <c r="F6" t="s">
        <v>38</v>
      </c>
      <c r="G6">
        <v>14</v>
      </c>
      <c r="H6">
        <v>0</v>
      </c>
      <c r="I6" t="s">
        <v>13</v>
      </c>
      <c r="J6" s="2">
        <v>300</v>
      </c>
      <c r="K6" s="2">
        <v>11.685</v>
      </c>
      <c r="L6" s="2">
        <v>0.32200000000000001</v>
      </c>
      <c r="M6" s="2">
        <f t="shared" si="0"/>
        <v>3.895</v>
      </c>
      <c r="N6" s="2">
        <f t="shared" si="1"/>
        <v>0.10733333333333332</v>
      </c>
      <c r="O6" s="8">
        <v>1</v>
      </c>
      <c r="P6" s="8">
        <f t="shared" si="2"/>
        <v>0</v>
      </c>
      <c r="Q6" s="8">
        <v>1</v>
      </c>
      <c r="R6" s="12">
        <f t="shared" si="3"/>
        <v>0</v>
      </c>
      <c r="X6" s="2"/>
      <c r="Z6" s="2"/>
      <c r="AB6" s="2"/>
    </row>
    <row r="7" spans="1:28" x14ac:dyDescent="0.25">
      <c r="A7" s="1">
        <f t="shared" si="4"/>
        <v>6</v>
      </c>
      <c r="B7" s="1">
        <f t="shared" si="5"/>
        <v>706</v>
      </c>
      <c r="C7" t="s">
        <v>6</v>
      </c>
      <c r="D7" t="s">
        <v>44</v>
      </c>
      <c r="E7" t="s">
        <v>46</v>
      </c>
      <c r="F7" t="s">
        <v>38</v>
      </c>
      <c r="G7">
        <v>17</v>
      </c>
      <c r="H7">
        <v>3</v>
      </c>
      <c r="I7" t="s">
        <v>12</v>
      </c>
      <c r="J7" s="2">
        <v>450</v>
      </c>
      <c r="K7" s="2">
        <v>18.719000000000001</v>
      </c>
      <c r="L7" s="2">
        <v>0.28499999999999998</v>
      </c>
      <c r="M7" s="2">
        <f t="shared" si="0"/>
        <v>4.1597777777777782</v>
      </c>
      <c r="N7" s="2">
        <f t="shared" si="1"/>
        <v>6.3333333333333325E-2</v>
      </c>
      <c r="O7" s="8">
        <v>37</v>
      </c>
      <c r="P7" s="8">
        <f t="shared" si="2"/>
        <v>1.568201724066995</v>
      </c>
      <c r="Q7" s="12">
        <v>572.5</v>
      </c>
      <c r="R7" s="12">
        <f t="shared" si="3"/>
        <v>2.7577754910119254</v>
      </c>
    </row>
    <row r="8" spans="1:28" x14ac:dyDescent="0.25">
      <c r="A8" s="1">
        <f t="shared" si="4"/>
        <v>7</v>
      </c>
      <c r="B8" s="1">
        <f t="shared" si="5"/>
        <v>707</v>
      </c>
      <c r="C8" t="s">
        <v>6</v>
      </c>
      <c r="D8" t="s">
        <v>44</v>
      </c>
      <c r="E8" t="s">
        <v>46</v>
      </c>
      <c r="F8" t="s">
        <v>38</v>
      </c>
      <c r="G8">
        <v>17</v>
      </c>
      <c r="H8">
        <v>3</v>
      </c>
      <c r="I8" t="s">
        <v>13</v>
      </c>
      <c r="J8" s="2">
        <v>400</v>
      </c>
      <c r="K8" s="2">
        <v>16.085999999999999</v>
      </c>
      <c r="L8" s="2">
        <v>0.59099999999999997</v>
      </c>
      <c r="M8" s="2">
        <f t="shared" si="0"/>
        <v>4.0214999999999996</v>
      </c>
      <c r="N8" s="2">
        <f t="shared" si="1"/>
        <v>0.14774999999999999</v>
      </c>
      <c r="O8" s="8">
        <v>1830000</v>
      </c>
      <c r="P8" s="8">
        <f t="shared" si="2"/>
        <v>6.2624510897304297</v>
      </c>
      <c r="Q8" s="12">
        <v>1870</v>
      </c>
      <c r="R8" s="12">
        <f t="shared" si="3"/>
        <v>3.271841606536499</v>
      </c>
    </row>
    <row r="9" spans="1:28" x14ac:dyDescent="0.25">
      <c r="A9" s="1">
        <f t="shared" si="4"/>
        <v>8</v>
      </c>
      <c r="B9" s="1">
        <f t="shared" si="5"/>
        <v>708</v>
      </c>
      <c r="C9" t="s">
        <v>6</v>
      </c>
      <c r="D9" t="s">
        <v>44</v>
      </c>
      <c r="E9" t="s">
        <v>46</v>
      </c>
      <c r="F9" t="s">
        <v>38</v>
      </c>
      <c r="G9">
        <v>17</v>
      </c>
      <c r="H9">
        <v>3</v>
      </c>
      <c r="I9" t="s">
        <v>12</v>
      </c>
      <c r="J9" s="2">
        <v>380</v>
      </c>
      <c r="K9" s="2">
        <v>15.044</v>
      </c>
      <c r="L9" s="2">
        <v>0.377</v>
      </c>
      <c r="M9" s="2">
        <f t="shared" si="0"/>
        <v>3.958947368421053</v>
      </c>
      <c r="N9" s="2">
        <f t="shared" si="1"/>
        <v>9.9210526315789457E-2</v>
      </c>
      <c r="O9" s="8">
        <v>852.5</v>
      </c>
      <c r="P9" s="8">
        <f t="shared" si="2"/>
        <v>2.9306943876645355</v>
      </c>
      <c r="Q9" s="12">
        <v>1029</v>
      </c>
      <c r="R9" s="12">
        <f t="shared" si="3"/>
        <v>3.0124153747624329</v>
      </c>
    </row>
    <row r="10" spans="1:28" x14ac:dyDescent="0.25">
      <c r="A10" s="1">
        <f t="shared" si="4"/>
        <v>9</v>
      </c>
      <c r="B10" s="1">
        <f t="shared" si="5"/>
        <v>709</v>
      </c>
      <c r="C10" t="s">
        <v>6</v>
      </c>
      <c r="D10" t="s">
        <v>44</v>
      </c>
      <c r="E10" t="s">
        <v>46</v>
      </c>
      <c r="F10" t="s">
        <v>38</v>
      </c>
      <c r="G10">
        <v>17</v>
      </c>
      <c r="H10">
        <v>3</v>
      </c>
      <c r="I10" t="s">
        <v>13</v>
      </c>
      <c r="J10" s="2">
        <v>435</v>
      </c>
      <c r="K10" s="2">
        <v>14.688000000000001</v>
      </c>
      <c r="L10" s="2">
        <v>0.40600000000000003</v>
      </c>
      <c r="M10" s="2">
        <f t="shared" si="0"/>
        <v>3.3765517241379315</v>
      </c>
      <c r="N10" s="2">
        <f t="shared" si="1"/>
        <v>9.3333333333333338E-2</v>
      </c>
      <c r="O10" s="8">
        <v>28300</v>
      </c>
      <c r="P10" s="8">
        <f t="shared" si="2"/>
        <v>4.4517864355242907</v>
      </c>
      <c r="Q10" s="12">
        <v>221</v>
      </c>
      <c r="R10" s="12">
        <f t="shared" si="3"/>
        <v>2.3443922736851106</v>
      </c>
    </row>
    <row r="11" spans="1:28" x14ac:dyDescent="0.25">
      <c r="A11" s="1">
        <f t="shared" si="4"/>
        <v>10</v>
      </c>
      <c r="B11" s="1">
        <f t="shared" si="5"/>
        <v>710</v>
      </c>
      <c r="C11" t="s">
        <v>6</v>
      </c>
      <c r="D11" t="s">
        <v>44</v>
      </c>
      <c r="E11" t="s">
        <v>46</v>
      </c>
      <c r="F11" t="s">
        <v>38</v>
      </c>
      <c r="G11">
        <v>17</v>
      </c>
      <c r="H11">
        <v>3</v>
      </c>
      <c r="I11" t="s">
        <v>12</v>
      </c>
      <c r="J11" s="2">
        <v>355</v>
      </c>
      <c r="K11" s="2">
        <v>15.532</v>
      </c>
      <c r="L11" s="2">
        <v>0.436</v>
      </c>
      <c r="M11" s="2">
        <f t="shared" si="0"/>
        <v>4.3752112676056338</v>
      </c>
      <c r="N11" s="2">
        <f t="shared" si="1"/>
        <v>0.12281690140845071</v>
      </c>
      <c r="O11" s="8">
        <v>18450</v>
      </c>
      <c r="P11" s="8">
        <f t="shared" si="2"/>
        <v>4.2659963704950794</v>
      </c>
      <c r="Q11" s="12">
        <v>2600</v>
      </c>
      <c r="R11" s="12">
        <f t="shared" si="3"/>
        <v>3.4149733479708178</v>
      </c>
    </row>
    <row r="12" spans="1:28" x14ac:dyDescent="0.25">
      <c r="A12" s="1">
        <f t="shared" si="4"/>
        <v>11</v>
      </c>
      <c r="B12" s="1">
        <f t="shared" si="5"/>
        <v>711</v>
      </c>
      <c r="C12" t="s">
        <v>6</v>
      </c>
      <c r="D12" t="s">
        <v>44</v>
      </c>
      <c r="E12" t="s">
        <v>46</v>
      </c>
      <c r="F12" t="s">
        <v>38</v>
      </c>
      <c r="G12">
        <v>19</v>
      </c>
      <c r="H12">
        <v>5</v>
      </c>
      <c r="I12" t="s">
        <v>12</v>
      </c>
      <c r="J12" s="2">
        <v>455</v>
      </c>
      <c r="K12" s="2">
        <v>18.577999999999999</v>
      </c>
      <c r="L12" s="2">
        <v>0.68799999999999994</v>
      </c>
      <c r="M12" s="2">
        <f t="shared" si="0"/>
        <v>4.0830769230769226</v>
      </c>
      <c r="N12" s="2">
        <f t="shared" si="1"/>
        <v>0.15120879120879119</v>
      </c>
      <c r="O12" s="8">
        <v>1945000000</v>
      </c>
      <c r="P12" s="8">
        <f t="shared" si="2"/>
        <v>9.2889196056617269</v>
      </c>
      <c r="Q12" s="12">
        <v>14200000</v>
      </c>
      <c r="R12" s="12">
        <f t="shared" si="3"/>
        <v>7.1522883443830567</v>
      </c>
    </row>
    <row r="13" spans="1:28" x14ac:dyDescent="0.25">
      <c r="A13" s="1">
        <f t="shared" si="4"/>
        <v>12</v>
      </c>
      <c r="B13" s="1">
        <f t="shared" si="5"/>
        <v>712</v>
      </c>
      <c r="C13" t="s">
        <v>6</v>
      </c>
      <c r="D13" t="s">
        <v>44</v>
      </c>
      <c r="E13" t="s">
        <v>46</v>
      </c>
      <c r="F13" t="s">
        <v>38</v>
      </c>
      <c r="G13">
        <v>19</v>
      </c>
      <c r="H13">
        <v>5</v>
      </c>
      <c r="I13" t="s">
        <v>12</v>
      </c>
      <c r="J13" s="2">
        <v>460</v>
      </c>
      <c r="K13" s="2">
        <v>22.721</v>
      </c>
      <c r="L13" s="2">
        <v>0.88300000000000001</v>
      </c>
      <c r="M13" s="2">
        <f t="shared" si="0"/>
        <v>4.9393478260869568</v>
      </c>
      <c r="N13" s="2">
        <f t="shared" si="1"/>
        <v>0.19195652173913044</v>
      </c>
      <c r="O13" s="8">
        <v>68750000000</v>
      </c>
      <c r="P13" s="8">
        <f t="shared" si="2"/>
        <v>10.8372727025023</v>
      </c>
      <c r="Q13" s="12">
        <v>131500000</v>
      </c>
      <c r="R13" s="12">
        <f t="shared" si="3"/>
        <v>8.1189257528257759</v>
      </c>
    </row>
    <row r="14" spans="1:28" x14ac:dyDescent="0.25">
      <c r="A14" s="1">
        <f t="shared" si="4"/>
        <v>13</v>
      </c>
      <c r="B14" s="1">
        <f t="shared" si="5"/>
        <v>713</v>
      </c>
      <c r="C14" t="s">
        <v>6</v>
      </c>
      <c r="D14" t="s">
        <v>44</v>
      </c>
      <c r="E14" t="s">
        <v>46</v>
      </c>
      <c r="F14" t="s">
        <v>38</v>
      </c>
      <c r="G14">
        <v>19</v>
      </c>
      <c r="H14">
        <v>5</v>
      </c>
      <c r="I14" t="s">
        <v>12</v>
      </c>
      <c r="J14" s="2">
        <v>520</v>
      </c>
      <c r="K14" s="2">
        <v>22.212</v>
      </c>
      <c r="L14" s="2">
        <v>0.55500000000000005</v>
      </c>
      <c r="M14" s="2">
        <f t="shared" si="0"/>
        <v>4.2715384615384613</v>
      </c>
      <c r="N14" s="2">
        <f t="shared" si="1"/>
        <v>0.10673076923076925</v>
      </c>
      <c r="O14" s="8">
        <v>119500000</v>
      </c>
      <c r="P14" s="8">
        <f t="shared" si="2"/>
        <v>8.0773679052841558</v>
      </c>
      <c r="Q14" s="12">
        <v>3340000</v>
      </c>
      <c r="R14" s="12">
        <f t="shared" si="3"/>
        <v>6.5237464668115646</v>
      </c>
    </row>
    <row r="15" spans="1:28" x14ac:dyDescent="0.25">
      <c r="A15" s="1">
        <f t="shared" si="4"/>
        <v>14</v>
      </c>
      <c r="B15" s="1">
        <f t="shared" si="5"/>
        <v>714</v>
      </c>
      <c r="C15" t="s">
        <v>6</v>
      </c>
      <c r="D15" t="s">
        <v>44</v>
      </c>
      <c r="E15" t="s">
        <v>46</v>
      </c>
      <c r="F15" t="s">
        <v>38</v>
      </c>
      <c r="G15">
        <v>19</v>
      </c>
      <c r="H15">
        <v>5</v>
      </c>
      <c r="I15" t="s">
        <v>13</v>
      </c>
      <c r="J15" s="2">
        <v>540</v>
      </c>
      <c r="K15" s="2">
        <v>22.927</v>
      </c>
      <c r="L15" s="2">
        <v>0.71799999999999997</v>
      </c>
      <c r="M15" s="2">
        <f t="shared" si="0"/>
        <v>4.2457407407407413</v>
      </c>
      <c r="N15" s="2">
        <f t="shared" si="1"/>
        <v>0.13296296296296295</v>
      </c>
      <c r="O15" s="8">
        <v>6250000000</v>
      </c>
      <c r="P15" s="8">
        <f t="shared" si="2"/>
        <v>9.795880017344075</v>
      </c>
      <c r="Q15" s="12">
        <v>13550000</v>
      </c>
      <c r="R15" s="12">
        <f t="shared" si="3"/>
        <v>7.1319392952104241</v>
      </c>
    </row>
    <row r="16" spans="1:28" x14ac:dyDescent="0.25">
      <c r="A16" s="1">
        <f t="shared" si="4"/>
        <v>15</v>
      </c>
      <c r="B16" s="1">
        <f t="shared" si="5"/>
        <v>715</v>
      </c>
      <c r="C16" t="s">
        <v>6</v>
      </c>
      <c r="D16" t="s">
        <v>44</v>
      </c>
      <c r="E16" t="s">
        <v>46</v>
      </c>
      <c r="F16" t="s">
        <v>38</v>
      </c>
      <c r="G16">
        <v>19</v>
      </c>
      <c r="H16">
        <v>5</v>
      </c>
      <c r="I16" t="s">
        <v>13</v>
      </c>
      <c r="J16" s="2">
        <v>545</v>
      </c>
      <c r="K16" s="2">
        <v>22.754999999999999</v>
      </c>
      <c r="L16" s="2">
        <v>0.91400000000000003</v>
      </c>
      <c r="M16" s="2">
        <f t="shared" si="0"/>
        <v>4.1752293577981652</v>
      </c>
      <c r="N16" s="2">
        <f t="shared" si="1"/>
        <v>0.16770642201834862</v>
      </c>
      <c r="O16" s="8">
        <v>128500000</v>
      </c>
      <c r="P16" s="8">
        <f t="shared" si="2"/>
        <v>8.1089031276673129</v>
      </c>
      <c r="Q16" s="12">
        <v>1305000</v>
      </c>
      <c r="R16" s="12">
        <f t="shared" si="3"/>
        <v>6.1156105116742996</v>
      </c>
    </row>
    <row r="17" spans="1:18" x14ac:dyDescent="0.25">
      <c r="A17" s="1">
        <f t="shared" si="4"/>
        <v>16</v>
      </c>
      <c r="B17" s="1">
        <f t="shared" si="5"/>
        <v>716</v>
      </c>
      <c r="C17" t="s">
        <v>6</v>
      </c>
      <c r="D17" t="s">
        <v>44</v>
      </c>
      <c r="E17" t="s">
        <v>46</v>
      </c>
      <c r="F17" t="s">
        <v>38</v>
      </c>
      <c r="G17">
        <v>21</v>
      </c>
      <c r="H17">
        <v>7</v>
      </c>
      <c r="I17" t="s">
        <v>12</v>
      </c>
      <c r="J17" s="2">
        <v>550</v>
      </c>
      <c r="K17" s="2">
        <v>26.574000000000002</v>
      </c>
      <c r="L17" s="2">
        <v>1.1100000000000001</v>
      </c>
      <c r="M17" s="2">
        <f t="shared" si="0"/>
        <v>4.8316363636363633</v>
      </c>
      <c r="N17" s="2">
        <f t="shared" si="1"/>
        <v>0.20181818181818184</v>
      </c>
      <c r="O17" s="8">
        <v>82900000</v>
      </c>
      <c r="P17" s="8">
        <f t="shared" si="2"/>
        <v>7.9185545305502734</v>
      </c>
      <c r="Q17" s="12">
        <v>1630000</v>
      </c>
      <c r="R17" s="12">
        <f t="shared" si="3"/>
        <v>6.2121876044039581</v>
      </c>
    </row>
    <row r="18" spans="1:18" x14ac:dyDescent="0.25">
      <c r="A18" s="1">
        <f t="shared" si="4"/>
        <v>17</v>
      </c>
      <c r="B18" s="1">
        <f t="shared" si="5"/>
        <v>717</v>
      </c>
      <c r="C18" t="s">
        <v>6</v>
      </c>
      <c r="D18" t="s">
        <v>44</v>
      </c>
      <c r="E18" t="s">
        <v>46</v>
      </c>
      <c r="F18" t="s">
        <v>38</v>
      </c>
      <c r="G18">
        <v>21</v>
      </c>
      <c r="H18">
        <v>7</v>
      </c>
      <c r="I18" t="s">
        <v>12</v>
      </c>
      <c r="J18" s="2">
        <v>535</v>
      </c>
      <c r="K18" s="2">
        <v>19.548999999999999</v>
      </c>
      <c r="L18" s="2">
        <v>0.65300000000000002</v>
      </c>
      <c r="M18" s="2">
        <f t="shared" si="0"/>
        <v>3.6540186915887847</v>
      </c>
      <c r="N18" s="2">
        <f t="shared" si="1"/>
        <v>0.12205607476635513</v>
      </c>
      <c r="O18" s="8">
        <v>7615000</v>
      </c>
      <c r="P18" s="8">
        <f t="shared" si="2"/>
        <v>6.8816699076720615</v>
      </c>
      <c r="Q18" s="12">
        <v>183500</v>
      </c>
      <c r="R18" s="12">
        <f t="shared" si="3"/>
        <v>5.2636360685881085</v>
      </c>
    </row>
    <row r="19" spans="1:18" x14ac:dyDescent="0.25">
      <c r="A19" s="1">
        <f t="shared" si="4"/>
        <v>18</v>
      </c>
      <c r="B19" s="1">
        <f t="shared" si="5"/>
        <v>718</v>
      </c>
      <c r="C19" t="s">
        <v>6</v>
      </c>
      <c r="D19" t="s">
        <v>44</v>
      </c>
      <c r="E19" t="s">
        <v>46</v>
      </c>
      <c r="F19" t="s">
        <v>38</v>
      </c>
      <c r="G19">
        <v>21</v>
      </c>
      <c r="H19">
        <v>7</v>
      </c>
      <c r="I19" t="s">
        <v>13</v>
      </c>
      <c r="J19" s="2">
        <v>625</v>
      </c>
      <c r="K19" s="2">
        <v>27.355</v>
      </c>
      <c r="L19" s="2">
        <v>0.749</v>
      </c>
      <c r="M19" s="2">
        <f t="shared" si="0"/>
        <v>4.3768000000000002</v>
      </c>
      <c r="N19" s="2">
        <f t="shared" si="1"/>
        <v>0.11984</v>
      </c>
      <c r="O19" s="8">
        <v>5335</v>
      </c>
      <c r="P19" s="8">
        <f t="shared" si="2"/>
        <v>3.7271344237604889</v>
      </c>
      <c r="Q19" s="12">
        <v>10415000</v>
      </c>
      <c r="R19" s="12">
        <f t="shared" si="3"/>
        <v>7.0176592742837647</v>
      </c>
    </row>
    <row r="20" spans="1:18" x14ac:dyDescent="0.25">
      <c r="A20" s="1">
        <f t="shared" si="4"/>
        <v>19</v>
      </c>
      <c r="B20" s="1">
        <f t="shared" si="5"/>
        <v>719</v>
      </c>
      <c r="C20" t="s">
        <v>6</v>
      </c>
      <c r="D20" t="s">
        <v>44</v>
      </c>
      <c r="E20" t="s">
        <v>46</v>
      </c>
      <c r="F20" t="s">
        <v>38</v>
      </c>
      <c r="G20">
        <v>21</v>
      </c>
      <c r="H20">
        <v>7</v>
      </c>
      <c r="I20" t="s">
        <v>13</v>
      </c>
      <c r="J20" s="2">
        <v>695</v>
      </c>
      <c r="K20" s="2">
        <v>25.82</v>
      </c>
      <c r="L20" s="2">
        <v>1.4470000000000001</v>
      </c>
      <c r="M20" s="2">
        <f t="shared" si="0"/>
        <v>3.715107913669065</v>
      </c>
      <c r="N20" s="2">
        <f t="shared" si="1"/>
        <v>0.20820143884892087</v>
      </c>
      <c r="O20" s="8">
        <v>3715000000</v>
      </c>
      <c r="P20" s="8">
        <f t="shared" si="2"/>
        <v>9.5699588180965947</v>
      </c>
      <c r="Q20" s="12">
        <v>11350000</v>
      </c>
      <c r="R20" s="12">
        <f t="shared" si="3"/>
        <v>7.0549958615291413</v>
      </c>
    </row>
    <row r="21" spans="1:18" x14ac:dyDescent="0.25">
      <c r="A21" s="1">
        <f t="shared" si="4"/>
        <v>20</v>
      </c>
      <c r="B21" s="1">
        <f t="shared" si="5"/>
        <v>720</v>
      </c>
      <c r="C21" t="s">
        <v>6</v>
      </c>
      <c r="D21" t="s">
        <v>44</v>
      </c>
      <c r="E21" t="s">
        <v>46</v>
      </c>
      <c r="F21" t="s">
        <v>38</v>
      </c>
      <c r="G21">
        <v>21</v>
      </c>
      <c r="H21">
        <v>7</v>
      </c>
      <c r="I21" t="s">
        <v>13</v>
      </c>
      <c r="J21" s="2">
        <v>655</v>
      </c>
      <c r="K21" s="2">
        <v>27.419</v>
      </c>
      <c r="L21" s="2">
        <v>0.86199999999999999</v>
      </c>
      <c r="M21" s="2">
        <f t="shared" si="0"/>
        <v>4.1861068702290076</v>
      </c>
      <c r="N21" s="2">
        <f t="shared" si="1"/>
        <v>0.1316030534351145</v>
      </c>
      <c r="O21" s="8">
        <v>1570000</v>
      </c>
      <c r="P21" s="8">
        <f t="shared" si="2"/>
        <v>6.195899652409234</v>
      </c>
      <c r="Q21" s="12">
        <v>121000</v>
      </c>
      <c r="R21" s="12">
        <f t="shared" si="3"/>
        <v>5.0827853703164498</v>
      </c>
    </row>
    <row r="22" spans="1:18" x14ac:dyDescent="0.25">
      <c r="A22" s="1">
        <f t="shared" si="4"/>
        <v>21</v>
      </c>
      <c r="B22" s="1">
        <f t="shared" si="5"/>
        <v>721</v>
      </c>
      <c r="C22" t="s">
        <v>6</v>
      </c>
      <c r="D22" t="s">
        <v>44</v>
      </c>
      <c r="E22" t="s">
        <v>46</v>
      </c>
      <c r="F22" t="s">
        <v>38</v>
      </c>
      <c r="G22">
        <v>28</v>
      </c>
      <c r="H22">
        <v>14</v>
      </c>
      <c r="I22" t="s">
        <v>13</v>
      </c>
      <c r="J22" s="2">
        <v>1055</v>
      </c>
      <c r="K22" s="2">
        <v>32.356000000000002</v>
      </c>
      <c r="L22" s="2">
        <v>1.325</v>
      </c>
      <c r="M22" s="2">
        <f t="shared" si="0"/>
        <v>3.0669194312796209</v>
      </c>
      <c r="N22" s="2">
        <f t="shared" si="1"/>
        <v>0.12559241706161137</v>
      </c>
      <c r="O22" s="8">
        <v>174000</v>
      </c>
      <c r="P22" s="8">
        <f t="shared" si="2"/>
        <v>5.2405492482825995</v>
      </c>
      <c r="Q22" s="12">
        <v>9345</v>
      </c>
      <c r="R22" s="12">
        <f t="shared" si="3"/>
        <v>3.9705793057148511</v>
      </c>
    </row>
    <row r="23" spans="1:18" x14ac:dyDescent="0.25">
      <c r="A23" s="1">
        <f t="shared" si="4"/>
        <v>22</v>
      </c>
      <c r="B23" s="1">
        <f t="shared" si="5"/>
        <v>722</v>
      </c>
      <c r="C23" t="s">
        <v>6</v>
      </c>
      <c r="D23" t="s">
        <v>44</v>
      </c>
      <c r="E23" t="s">
        <v>46</v>
      </c>
      <c r="F23" t="s">
        <v>38</v>
      </c>
      <c r="G23">
        <v>28</v>
      </c>
      <c r="H23">
        <v>14</v>
      </c>
      <c r="I23" t="s">
        <v>12</v>
      </c>
      <c r="J23" s="2">
        <v>920</v>
      </c>
      <c r="K23" s="2">
        <v>29.25</v>
      </c>
      <c r="L23" s="2">
        <v>1.0820000000000001</v>
      </c>
      <c r="M23" s="2">
        <f t="shared" si="0"/>
        <v>3.1793478260869561</v>
      </c>
      <c r="N23" s="2">
        <f t="shared" si="1"/>
        <v>0.11760869565217393</v>
      </c>
      <c r="O23" s="8">
        <v>8425</v>
      </c>
      <c r="P23" s="8">
        <f t="shared" si="2"/>
        <v>3.925569909543376</v>
      </c>
      <c r="Q23" s="12">
        <v>615000</v>
      </c>
      <c r="R23" s="12">
        <f t="shared" si="3"/>
        <v>5.7888751157754168</v>
      </c>
    </row>
    <row r="24" spans="1:18" x14ac:dyDescent="0.25">
      <c r="A24" s="1">
        <f t="shared" si="4"/>
        <v>23</v>
      </c>
      <c r="B24" s="1">
        <f t="shared" si="5"/>
        <v>723</v>
      </c>
      <c r="C24" t="s">
        <v>6</v>
      </c>
      <c r="D24" t="s">
        <v>44</v>
      </c>
      <c r="E24" t="s">
        <v>46</v>
      </c>
      <c r="F24" t="s">
        <v>38</v>
      </c>
      <c r="G24">
        <v>28</v>
      </c>
      <c r="H24">
        <v>14</v>
      </c>
      <c r="I24" t="s">
        <v>13</v>
      </c>
      <c r="J24" s="2">
        <v>940</v>
      </c>
      <c r="K24" s="2">
        <v>27.311</v>
      </c>
      <c r="L24" s="2">
        <v>1.0209999999999999</v>
      </c>
      <c r="M24" s="2">
        <f t="shared" si="0"/>
        <v>2.9054255319148936</v>
      </c>
      <c r="N24" s="2">
        <f t="shared" si="1"/>
        <v>0.10861702127659574</v>
      </c>
      <c r="O24" s="8">
        <v>220</v>
      </c>
      <c r="P24" s="8">
        <f t="shared" si="2"/>
        <v>2.3424226808222062</v>
      </c>
      <c r="Q24" s="12">
        <v>918</v>
      </c>
      <c r="R24" s="12">
        <f t="shared" si="3"/>
        <v>2.9628426812012423</v>
      </c>
    </row>
    <row r="25" spans="1:18" x14ac:dyDescent="0.25">
      <c r="A25" s="1">
        <f t="shared" si="4"/>
        <v>24</v>
      </c>
      <c r="B25" s="1">
        <f t="shared" si="5"/>
        <v>724</v>
      </c>
      <c r="C25" t="s">
        <v>6</v>
      </c>
      <c r="D25" t="s">
        <v>44</v>
      </c>
      <c r="E25" t="s">
        <v>46</v>
      </c>
      <c r="F25" t="s">
        <v>38</v>
      </c>
      <c r="G25">
        <v>28</v>
      </c>
      <c r="H25">
        <v>14</v>
      </c>
      <c r="I25" t="s">
        <v>13</v>
      </c>
      <c r="J25" s="2">
        <v>785</v>
      </c>
      <c r="K25" s="2">
        <v>31.28</v>
      </c>
      <c r="L25" s="2">
        <v>0.84099999999999997</v>
      </c>
      <c r="M25" s="2">
        <f t="shared" si="0"/>
        <v>3.9847133757961783</v>
      </c>
      <c r="N25" s="2">
        <f t="shared" si="1"/>
        <v>0.10713375796178343</v>
      </c>
      <c r="O25" s="8">
        <v>717</v>
      </c>
      <c r="P25" s="8">
        <f t="shared" si="2"/>
        <v>2.8555191556678001</v>
      </c>
      <c r="Q25" s="12">
        <v>1185</v>
      </c>
      <c r="R25" s="12">
        <f t="shared" si="3"/>
        <v>3.0737183503461227</v>
      </c>
    </row>
    <row r="26" spans="1:18" x14ac:dyDescent="0.25">
      <c r="A26" s="1">
        <f t="shared" si="4"/>
        <v>25</v>
      </c>
      <c r="B26" s="1">
        <f t="shared" si="5"/>
        <v>725</v>
      </c>
      <c r="C26" t="s">
        <v>6</v>
      </c>
      <c r="D26" t="s">
        <v>44</v>
      </c>
      <c r="E26" t="s">
        <v>46</v>
      </c>
      <c r="F26" t="s">
        <v>38</v>
      </c>
      <c r="G26">
        <v>28</v>
      </c>
      <c r="H26">
        <v>14</v>
      </c>
      <c r="I26" t="s">
        <v>12</v>
      </c>
      <c r="J26" s="2">
        <v>585</v>
      </c>
      <c r="K26" s="2">
        <v>22.134</v>
      </c>
      <c r="L26" s="2">
        <v>0.86599999999999999</v>
      </c>
      <c r="M26" s="2">
        <f t="shared" si="0"/>
        <v>3.7835897435897436</v>
      </c>
      <c r="N26" s="2">
        <f t="shared" si="1"/>
        <v>0.14803418803418802</v>
      </c>
      <c r="O26" s="8">
        <v>393.5</v>
      </c>
      <c r="P26" s="8">
        <f t="shared" si="2"/>
        <v>2.5949447366950835</v>
      </c>
      <c r="Q26" s="12">
        <v>263000</v>
      </c>
      <c r="R26" s="12">
        <f t="shared" si="3"/>
        <v>5.419955748489758</v>
      </c>
    </row>
    <row r="27" spans="1:18" x14ac:dyDescent="0.25">
      <c r="A27" s="1">
        <f t="shared" si="4"/>
        <v>26</v>
      </c>
      <c r="B27" s="1">
        <f t="shared" si="5"/>
        <v>726</v>
      </c>
      <c r="C27" t="s">
        <v>7</v>
      </c>
      <c r="D27" t="s">
        <v>44</v>
      </c>
      <c r="E27" t="s">
        <v>47</v>
      </c>
      <c r="F27" t="s">
        <v>38</v>
      </c>
      <c r="G27">
        <v>14</v>
      </c>
      <c r="H27">
        <v>0</v>
      </c>
      <c r="I27" t="s">
        <v>12</v>
      </c>
      <c r="J27" s="2">
        <v>295</v>
      </c>
      <c r="K27" s="2">
        <v>12.151999999999999</v>
      </c>
      <c r="L27" s="2">
        <v>0.21</v>
      </c>
      <c r="M27" s="2">
        <f t="shared" si="0"/>
        <v>4.119322033898305</v>
      </c>
      <c r="N27" s="2">
        <f t="shared" si="1"/>
        <v>7.118644067796609E-2</v>
      </c>
      <c r="O27" s="8">
        <v>1</v>
      </c>
      <c r="P27" s="8">
        <f t="shared" si="2"/>
        <v>0</v>
      </c>
      <c r="Q27" s="8">
        <v>1</v>
      </c>
      <c r="R27" s="12">
        <f t="shared" si="3"/>
        <v>0</v>
      </c>
    </row>
    <row r="28" spans="1:18" x14ac:dyDescent="0.25">
      <c r="A28" s="1">
        <f t="shared" si="4"/>
        <v>27</v>
      </c>
      <c r="B28" s="1">
        <f t="shared" si="5"/>
        <v>727</v>
      </c>
      <c r="C28" t="s">
        <v>7</v>
      </c>
      <c r="D28" t="s">
        <v>44</v>
      </c>
      <c r="E28" t="s">
        <v>47</v>
      </c>
      <c r="F28" t="s">
        <v>38</v>
      </c>
      <c r="G28">
        <v>14</v>
      </c>
      <c r="H28">
        <v>0</v>
      </c>
      <c r="I28" t="s">
        <v>13</v>
      </c>
      <c r="J28" s="2">
        <v>305</v>
      </c>
      <c r="K28" s="2">
        <v>14.292</v>
      </c>
      <c r="L28" s="2">
        <v>0.29699999999999999</v>
      </c>
      <c r="M28" s="2">
        <f t="shared" si="0"/>
        <v>4.6859016393442623</v>
      </c>
      <c r="N28" s="2">
        <f t="shared" si="1"/>
        <v>9.7377049180327871E-2</v>
      </c>
      <c r="O28" s="8">
        <v>1</v>
      </c>
      <c r="P28" s="8">
        <f t="shared" si="2"/>
        <v>0</v>
      </c>
      <c r="Q28" s="8">
        <v>1</v>
      </c>
      <c r="R28" s="12">
        <f t="shared" si="3"/>
        <v>0</v>
      </c>
    </row>
    <row r="29" spans="1:18" x14ac:dyDescent="0.25">
      <c r="A29" s="1">
        <f t="shared" si="4"/>
        <v>28</v>
      </c>
      <c r="B29" s="1">
        <f t="shared" si="5"/>
        <v>728</v>
      </c>
      <c r="C29" t="s">
        <v>7</v>
      </c>
      <c r="D29" t="s">
        <v>44</v>
      </c>
      <c r="E29" t="s">
        <v>47</v>
      </c>
      <c r="F29" t="s">
        <v>38</v>
      </c>
      <c r="G29">
        <v>14</v>
      </c>
      <c r="H29">
        <v>0</v>
      </c>
      <c r="I29" t="s">
        <v>12</v>
      </c>
      <c r="J29" s="2">
        <v>275</v>
      </c>
      <c r="K29" s="2">
        <v>11.832000000000001</v>
      </c>
      <c r="L29" s="2">
        <v>0.27300000000000002</v>
      </c>
      <c r="M29" s="2">
        <f t="shared" si="0"/>
        <v>4.3025454545454549</v>
      </c>
      <c r="N29" s="2">
        <f t="shared" si="1"/>
        <v>9.9272727272727276E-2</v>
      </c>
      <c r="O29" s="8">
        <v>1</v>
      </c>
      <c r="P29" s="8">
        <f t="shared" si="2"/>
        <v>0</v>
      </c>
      <c r="Q29" s="8">
        <v>1</v>
      </c>
      <c r="R29" s="12">
        <f t="shared" si="3"/>
        <v>0</v>
      </c>
    </row>
    <row r="30" spans="1:18" x14ac:dyDescent="0.25">
      <c r="A30" s="1">
        <f t="shared" si="4"/>
        <v>29</v>
      </c>
      <c r="B30" s="1">
        <f t="shared" si="5"/>
        <v>729</v>
      </c>
      <c r="C30" t="s">
        <v>7</v>
      </c>
      <c r="D30" t="s">
        <v>44</v>
      </c>
      <c r="E30" t="s">
        <v>47</v>
      </c>
      <c r="F30" t="s">
        <v>38</v>
      </c>
      <c r="G30">
        <v>14</v>
      </c>
      <c r="H30">
        <v>0</v>
      </c>
      <c r="I30" t="s">
        <v>12</v>
      </c>
      <c r="J30" s="2">
        <v>245</v>
      </c>
      <c r="K30" s="2">
        <v>9.4239999999999995</v>
      </c>
      <c r="L30" s="2">
        <v>0.23799999999999999</v>
      </c>
      <c r="M30" s="2">
        <f t="shared" si="0"/>
        <v>3.8465306122448979</v>
      </c>
      <c r="N30" s="2">
        <f t="shared" si="1"/>
        <v>9.7142857142857142E-2</v>
      </c>
      <c r="O30" s="8">
        <v>1</v>
      </c>
      <c r="P30" s="8">
        <f t="shared" si="2"/>
        <v>0</v>
      </c>
      <c r="Q30" s="8">
        <v>1</v>
      </c>
      <c r="R30" s="12">
        <f t="shared" si="3"/>
        <v>0</v>
      </c>
    </row>
    <row r="31" spans="1:18" x14ac:dyDescent="0.25">
      <c r="A31" s="1">
        <f t="shared" si="4"/>
        <v>30</v>
      </c>
      <c r="B31" s="1">
        <f t="shared" si="5"/>
        <v>730</v>
      </c>
      <c r="C31" t="s">
        <v>7</v>
      </c>
      <c r="D31" t="s">
        <v>44</v>
      </c>
      <c r="E31" t="s">
        <v>47</v>
      </c>
      <c r="F31" t="s">
        <v>38</v>
      </c>
      <c r="G31">
        <v>14</v>
      </c>
      <c r="H31">
        <v>0</v>
      </c>
      <c r="I31" t="s">
        <v>13</v>
      </c>
      <c r="J31" s="2">
        <v>320</v>
      </c>
      <c r="K31" s="2">
        <v>15.676</v>
      </c>
      <c r="L31" s="2">
        <v>0.24199999999999999</v>
      </c>
      <c r="M31" s="2">
        <f t="shared" si="0"/>
        <v>4.8987500000000006</v>
      </c>
      <c r="N31" s="2">
        <f t="shared" si="1"/>
        <v>7.5624999999999998E-2</v>
      </c>
      <c r="O31" s="8">
        <v>1</v>
      </c>
      <c r="P31" s="8">
        <f t="shared" si="2"/>
        <v>0</v>
      </c>
      <c r="Q31" s="8">
        <v>1</v>
      </c>
      <c r="R31" s="12">
        <f t="shared" si="3"/>
        <v>0</v>
      </c>
    </row>
    <row r="32" spans="1:18" x14ac:dyDescent="0.25">
      <c r="A32" s="1">
        <f t="shared" si="4"/>
        <v>31</v>
      </c>
      <c r="B32" s="1">
        <f t="shared" si="5"/>
        <v>731</v>
      </c>
      <c r="C32" t="s">
        <v>7</v>
      </c>
      <c r="D32" t="s">
        <v>44</v>
      </c>
      <c r="E32" t="s">
        <v>47</v>
      </c>
      <c r="F32" t="s">
        <v>38</v>
      </c>
      <c r="G32">
        <v>17</v>
      </c>
      <c r="H32">
        <v>3</v>
      </c>
      <c r="I32" t="s">
        <v>12</v>
      </c>
      <c r="J32" s="2">
        <v>440</v>
      </c>
      <c r="K32" s="2">
        <v>18.891999999999999</v>
      </c>
      <c r="L32" s="2">
        <v>0.252</v>
      </c>
      <c r="M32" s="2">
        <f t="shared" si="0"/>
        <v>4.293636363636363</v>
      </c>
      <c r="N32" s="2">
        <f t="shared" si="1"/>
        <v>5.7272727272727274E-2</v>
      </c>
      <c r="O32" s="8">
        <v>584.5</v>
      </c>
      <c r="P32" s="8">
        <f t="shared" si="2"/>
        <v>2.766784515497859</v>
      </c>
      <c r="Q32" s="12">
        <v>39.799999999999997</v>
      </c>
      <c r="R32" s="12">
        <f t="shared" si="3"/>
        <v>1.5998830720736879</v>
      </c>
    </row>
    <row r="33" spans="1:18" x14ac:dyDescent="0.25">
      <c r="A33" s="1">
        <f t="shared" si="4"/>
        <v>32</v>
      </c>
      <c r="B33" s="1">
        <f t="shared" si="5"/>
        <v>732</v>
      </c>
      <c r="C33" t="s">
        <v>7</v>
      </c>
      <c r="D33" t="s">
        <v>44</v>
      </c>
      <c r="E33" t="s">
        <v>47</v>
      </c>
      <c r="F33" t="s">
        <v>38</v>
      </c>
      <c r="G33">
        <v>17</v>
      </c>
      <c r="H33">
        <v>3</v>
      </c>
      <c r="I33" t="s">
        <v>13</v>
      </c>
      <c r="J33" s="2">
        <v>400</v>
      </c>
      <c r="K33" s="2">
        <v>16.163</v>
      </c>
      <c r="L33" s="2">
        <v>0.33200000000000002</v>
      </c>
      <c r="M33" s="2">
        <f t="shared" si="0"/>
        <v>4.0407500000000001</v>
      </c>
      <c r="N33" s="2">
        <f t="shared" si="1"/>
        <v>8.3000000000000004E-2</v>
      </c>
      <c r="O33" s="8">
        <v>531000</v>
      </c>
      <c r="P33" s="8">
        <f t="shared" si="2"/>
        <v>5.725094521081469</v>
      </c>
      <c r="Q33" s="12">
        <v>147.5</v>
      </c>
      <c r="R33" s="12">
        <f t="shared" si="3"/>
        <v>2.1687920203141817</v>
      </c>
    </row>
    <row r="34" spans="1:18" x14ac:dyDescent="0.25">
      <c r="A34" s="1">
        <f t="shared" si="4"/>
        <v>33</v>
      </c>
      <c r="B34" s="1">
        <f t="shared" si="5"/>
        <v>733</v>
      </c>
      <c r="C34" t="s">
        <v>7</v>
      </c>
      <c r="D34" t="s">
        <v>44</v>
      </c>
      <c r="E34" t="s">
        <v>47</v>
      </c>
      <c r="F34" t="s">
        <v>38</v>
      </c>
      <c r="G34">
        <v>17</v>
      </c>
      <c r="H34">
        <v>3</v>
      </c>
      <c r="I34" t="s">
        <v>12</v>
      </c>
      <c r="J34" s="2">
        <v>425</v>
      </c>
      <c r="K34" s="2">
        <v>17.119</v>
      </c>
      <c r="L34" s="2">
        <v>0.377</v>
      </c>
      <c r="M34" s="2">
        <f t="shared" ref="M34:M65" si="6">(K34/J34)*100</f>
        <v>4.0279999999999996</v>
      </c>
      <c r="N34" s="2">
        <f t="shared" ref="N34:N65" si="7">(L34/J34)*100</f>
        <v>8.8705882352941176E-2</v>
      </c>
      <c r="O34" s="8">
        <v>50100</v>
      </c>
      <c r="P34" s="8">
        <f t="shared" si="2"/>
        <v>4.6998377258672459</v>
      </c>
      <c r="Q34" s="12">
        <v>157.5</v>
      </c>
      <c r="R34" s="12">
        <f t="shared" si="3"/>
        <v>2.1972805581256192</v>
      </c>
    </row>
    <row r="35" spans="1:18" x14ac:dyDescent="0.25">
      <c r="A35" s="1">
        <f t="shared" si="4"/>
        <v>34</v>
      </c>
      <c r="B35" s="1">
        <f t="shared" si="5"/>
        <v>734</v>
      </c>
      <c r="C35" t="s">
        <v>7</v>
      </c>
      <c r="D35" t="s">
        <v>44</v>
      </c>
      <c r="E35" t="s">
        <v>47</v>
      </c>
      <c r="F35" t="s">
        <v>38</v>
      </c>
      <c r="G35">
        <v>17</v>
      </c>
      <c r="H35">
        <v>3</v>
      </c>
      <c r="I35" t="s">
        <v>13</v>
      </c>
      <c r="J35" s="2">
        <v>410</v>
      </c>
      <c r="K35" s="2">
        <v>16.545000000000002</v>
      </c>
      <c r="L35" s="2">
        <v>0.28699999999999998</v>
      </c>
      <c r="M35" s="2">
        <f t="shared" si="6"/>
        <v>4.0353658536585364</v>
      </c>
      <c r="N35" s="2">
        <f t="shared" si="7"/>
        <v>6.9999999999999993E-2</v>
      </c>
      <c r="O35" s="8">
        <v>66.95</v>
      </c>
      <c r="P35" s="8">
        <f t="shared" si="2"/>
        <v>1.8257505813480277</v>
      </c>
      <c r="Q35" s="8">
        <v>1</v>
      </c>
      <c r="R35" s="12">
        <f t="shared" si="3"/>
        <v>0</v>
      </c>
    </row>
    <row r="36" spans="1:18" x14ac:dyDescent="0.25">
      <c r="A36" s="1">
        <f t="shared" si="4"/>
        <v>35</v>
      </c>
      <c r="B36" s="1">
        <f t="shared" si="5"/>
        <v>735</v>
      </c>
      <c r="C36" t="s">
        <v>7</v>
      </c>
      <c r="D36" t="s">
        <v>44</v>
      </c>
      <c r="E36" t="s">
        <v>47</v>
      </c>
      <c r="F36" t="s">
        <v>38</v>
      </c>
      <c r="G36">
        <v>17</v>
      </c>
      <c r="H36">
        <v>3</v>
      </c>
      <c r="I36" t="s">
        <v>12</v>
      </c>
      <c r="J36" s="2">
        <v>405</v>
      </c>
      <c r="K36" s="2">
        <v>16.716999999999999</v>
      </c>
      <c r="L36" s="2">
        <v>0.42</v>
      </c>
      <c r="M36" s="2">
        <f t="shared" si="6"/>
        <v>4.1276543209876539</v>
      </c>
      <c r="N36" s="2">
        <f t="shared" si="7"/>
        <v>0.1037037037037037</v>
      </c>
      <c r="O36" s="8">
        <v>1</v>
      </c>
      <c r="P36" s="8">
        <f t="shared" si="2"/>
        <v>0</v>
      </c>
      <c r="Q36" s="12">
        <v>53.25</v>
      </c>
      <c r="R36" s="12">
        <f t="shared" si="3"/>
        <v>1.7263196121107753</v>
      </c>
    </row>
    <row r="37" spans="1:18" x14ac:dyDescent="0.25">
      <c r="A37" s="1">
        <f t="shared" si="4"/>
        <v>36</v>
      </c>
      <c r="B37" s="1">
        <f t="shared" si="5"/>
        <v>736</v>
      </c>
      <c r="C37" t="s">
        <v>7</v>
      </c>
      <c r="D37" t="s">
        <v>44</v>
      </c>
      <c r="E37" t="s">
        <v>47</v>
      </c>
      <c r="F37" t="s">
        <v>38</v>
      </c>
      <c r="G37">
        <v>19</v>
      </c>
      <c r="H37">
        <v>5</v>
      </c>
      <c r="I37" t="s">
        <v>12</v>
      </c>
      <c r="J37" s="2">
        <v>450</v>
      </c>
      <c r="K37" s="2">
        <v>16.195</v>
      </c>
      <c r="L37" s="2">
        <v>0.67600000000000005</v>
      </c>
      <c r="M37" s="2">
        <f t="shared" si="6"/>
        <v>3.5988888888888888</v>
      </c>
      <c r="N37" s="2">
        <f t="shared" si="7"/>
        <v>0.15022222222222223</v>
      </c>
      <c r="O37" s="8">
        <v>7640000000</v>
      </c>
      <c r="P37" s="8">
        <f t="shared" si="2"/>
        <v>9.8830933585756906</v>
      </c>
      <c r="Q37" s="12">
        <v>275500</v>
      </c>
      <c r="R37" s="12">
        <f t="shared" si="3"/>
        <v>5.4401216031878041</v>
      </c>
    </row>
    <row r="38" spans="1:18" x14ac:dyDescent="0.25">
      <c r="A38" s="1">
        <f t="shared" si="4"/>
        <v>37</v>
      </c>
      <c r="B38" s="1">
        <f t="shared" si="5"/>
        <v>737</v>
      </c>
      <c r="C38" t="s">
        <v>7</v>
      </c>
      <c r="D38" t="s">
        <v>44</v>
      </c>
      <c r="E38" t="s">
        <v>47</v>
      </c>
      <c r="F38" t="s">
        <v>38</v>
      </c>
      <c r="G38">
        <v>19</v>
      </c>
      <c r="H38">
        <v>5</v>
      </c>
      <c r="I38" t="s">
        <v>13</v>
      </c>
      <c r="J38" s="2">
        <v>530</v>
      </c>
      <c r="K38" s="2">
        <v>27.085999999999999</v>
      </c>
      <c r="L38" s="2">
        <v>0.79300000000000004</v>
      </c>
      <c r="M38" s="2">
        <f t="shared" si="6"/>
        <v>5.1105660377358486</v>
      </c>
      <c r="N38" s="2">
        <f t="shared" si="7"/>
        <v>0.14962264150943397</v>
      </c>
      <c r="O38" s="8">
        <v>82150000</v>
      </c>
      <c r="P38" s="8">
        <f t="shared" si="2"/>
        <v>7.9146075677710801</v>
      </c>
      <c r="Q38" s="12">
        <v>750500</v>
      </c>
      <c r="R38" s="12">
        <f t="shared" si="3"/>
        <v>5.8753506965792894</v>
      </c>
    </row>
    <row r="39" spans="1:18" x14ac:dyDescent="0.25">
      <c r="A39" s="1">
        <f t="shared" si="4"/>
        <v>38</v>
      </c>
      <c r="B39" s="1">
        <f t="shared" si="5"/>
        <v>738</v>
      </c>
      <c r="C39" t="s">
        <v>7</v>
      </c>
      <c r="D39" t="s">
        <v>44</v>
      </c>
      <c r="E39" t="s">
        <v>47</v>
      </c>
      <c r="F39" t="s">
        <v>38</v>
      </c>
      <c r="G39">
        <v>19</v>
      </c>
      <c r="H39">
        <v>5</v>
      </c>
      <c r="I39" t="s">
        <v>13</v>
      </c>
      <c r="J39" s="2">
        <v>500</v>
      </c>
      <c r="K39" s="2">
        <v>22.908999999999999</v>
      </c>
      <c r="L39" s="2">
        <v>0.59599999999999997</v>
      </c>
      <c r="M39" s="2">
        <f t="shared" si="6"/>
        <v>4.5817999999999994</v>
      </c>
      <c r="N39" s="2">
        <f t="shared" si="7"/>
        <v>0.11919999999999999</v>
      </c>
      <c r="O39" s="8">
        <v>3245000000</v>
      </c>
      <c r="P39" s="8">
        <f t="shared" si="2"/>
        <v>9.5112147011363888</v>
      </c>
      <c r="Q39" s="12">
        <v>1335000</v>
      </c>
      <c r="R39" s="12">
        <f t="shared" si="3"/>
        <v>6.1254812657005937</v>
      </c>
    </row>
    <row r="40" spans="1:18" x14ac:dyDescent="0.25">
      <c r="A40" s="1">
        <f t="shared" si="4"/>
        <v>39</v>
      </c>
      <c r="B40" s="1">
        <f t="shared" si="5"/>
        <v>739</v>
      </c>
      <c r="C40" t="s">
        <v>7</v>
      </c>
      <c r="D40" t="s">
        <v>44</v>
      </c>
      <c r="E40" t="s">
        <v>47</v>
      </c>
      <c r="F40" t="s">
        <v>38</v>
      </c>
      <c r="G40">
        <v>19</v>
      </c>
      <c r="H40">
        <v>5</v>
      </c>
      <c r="I40" t="s">
        <v>13</v>
      </c>
      <c r="J40" s="2">
        <v>475</v>
      </c>
      <c r="K40" s="2">
        <v>19.943000000000001</v>
      </c>
      <c r="L40" s="2">
        <v>0.54900000000000004</v>
      </c>
      <c r="M40" s="2">
        <f t="shared" si="6"/>
        <v>4.1985263157894739</v>
      </c>
      <c r="N40" s="2">
        <f t="shared" si="7"/>
        <v>0.11557894736842104</v>
      </c>
      <c r="O40" s="8">
        <v>1295000</v>
      </c>
      <c r="P40" s="8">
        <f t="shared" si="2"/>
        <v>6.1122697684172707</v>
      </c>
      <c r="Q40" s="12">
        <v>23550000</v>
      </c>
      <c r="R40" s="12">
        <f t="shared" si="3"/>
        <v>7.3719909114649154</v>
      </c>
    </row>
    <row r="41" spans="1:18" x14ac:dyDescent="0.25">
      <c r="A41" s="1">
        <f t="shared" si="4"/>
        <v>40</v>
      </c>
      <c r="B41" s="1">
        <f t="shared" si="5"/>
        <v>740</v>
      </c>
      <c r="C41" t="s">
        <v>7</v>
      </c>
      <c r="D41" t="s">
        <v>44</v>
      </c>
      <c r="E41" t="s">
        <v>47</v>
      </c>
      <c r="F41" t="s">
        <v>38</v>
      </c>
      <c r="G41">
        <v>19</v>
      </c>
      <c r="H41">
        <v>5</v>
      </c>
      <c r="I41" t="s">
        <v>13</v>
      </c>
      <c r="J41" s="2">
        <v>575</v>
      </c>
      <c r="K41" s="2">
        <v>23.283000000000001</v>
      </c>
      <c r="L41" s="2">
        <v>0.876</v>
      </c>
      <c r="M41" s="2">
        <f t="shared" si="6"/>
        <v>4.0492173913043477</v>
      </c>
      <c r="N41" s="2">
        <f t="shared" si="7"/>
        <v>0.15234782608695652</v>
      </c>
      <c r="O41" s="8">
        <v>10600000000</v>
      </c>
      <c r="P41" s="8">
        <f t="shared" si="2"/>
        <v>10.02530586526477</v>
      </c>
      <c r="Q41" s="12">
        <v>609500</v>
      </c>
      <c r="R41" s="12">
        <f t="shared" si="3"/>
        <v>5.784973709954401</v>
      </c>
    </row>
    <row r="42" spans="1:18" x14ac:dyDescent="0.25">
      <c r="A42" s="1">
        <f t="shared" si="4"/>
        <v>41</v>
      </c>
      <c r="B42" s="1">
        <f t="shared" si="5"/>
        <v>741</v>
      </c>
      <c r="C42" t="s">
        <v>7</v>
      </c>
      <c r="D42" t="s">
        <v>44</v>
      </c>
      <c r="E42" t="s">
        <v>47</v>
      </c>
      <c r="F42" t="s">
        <v>38</v>
      </c>
      <c r="G42">
        <v>21</v>
      </c>
      <c r="H42">
        <v>7</v>
      </c>
      <c r="I42" t="s">
        <v>13</v>
      </c>
      <c r="J42" s="2">
        <v>645</v>
      </c>
      <c r="K42" s="2">
        <v>38.220999999999997</v>
      </c>
      <c r="L42" s="2">
        <v>1.9350000000000001</v>
      </c>
      <c r="M42" s="2">
        <f t="shared" si="6"/>
        <v>5.9257364341085266</v>
      </c>
      <c r="N42" s="2">
        <f t="shared" si="7"/>
        <v>0.3</v>
      </c>
      <c r="O42" s="8">
        <v>66200000000</v>
      </c>
      <c r="P42" s="8">
        <f t="shared" si="2"/>
        <v>10.8208579894397</v>
      </c>
      <c r="Q42" s="12">
        <v>4945000</v>
      </c>
      <c r="R42" s="12">
        <f t="shared" si="3"/>
        <v>6.694166295933198</v>
      </c>
    </row>
    <row r="43" spans="1:18" x14ac:dyDescent="0.25">
      <c r="A43" s="1">
        <f t="shared" si="4"/>
        <v>42</v>
      </c>
      <c r="B43" s="1">
        <f t="shared" si="5"/>
        <v>742</v>
      </c>
      <c r="C43" t="s">
        <v>7</v>
      </c>
      <c r="D43" t="s">
        <v>44</v>
      </c>
      <c r="E43" t="s">
        <v>47</v>
      </c>
      <c r="F43" t="s">
        <v>38</v>
      </c>
      <c r="G43">
        <v>21</v>
      </c>
      <c r="H43">
        <v>7</v>
      </c>
      <c r="I43" t="s">
        <v>12</v>
      </c>
      <c r="J43" s="2">
        <v>505</v>
      </c>
      <c r="K43" s="2">
        <v>22.334</v>
      </c>
      <c r="L43" s="2">
        <v>0.90600000000000003</v>
      </c>
      <c r="M43" s="2">
        <f t="shared" si="6"/>
        <v>4.4225742574257421</v>
      </c>
      <c r="N43" s="2">
        <f t="shared" si="7"/>
        <v>0.1794059405940594</v>
      </c>
      <c r="O43" s="8">
        <v>2440000000</v>
      </c>
      <c r="P43" s="8">
        <f t="shared" si="2"/>
        <v>9.3873898263387296</v>
      </c>
      <c r="Q43" s="12">
        <v>43850</v>
      </c>
      <c r="R43" s="12">
        <f t="shared" si="3"/>
        <v>4.641969597702059</v>
      </c>
    </row>
    <row r="44" spans="1:18" x14ac:dyDescent="0.25">
      <c r="A44" s="1">
        <f t="shared" si="4"/>
        <v>43</v>
      </c>
      <c r="B44" s="1">
        <f t="shared" si="5"/>
        <v>743</v>
      </c>
      <c r="C44" t="s">
        <v>7</v>
      </c>
      <c r="D44" t="s">
        <v>44</v>
      </c>
      <c r="E44" t="s">
        <v>47</v>
      </c>
      <c r="F44" t="s">
        <v>38</v>
      </c>
      <c r="G44">
        <v>21</v>
      </c>
      <c r="H44">
        <v>7</v>
      </c>
      <c r="I44" t="s">
        <v>12</v>
      </c>
      <c r="J44" s="2">
        <v>505</v>
      </c>
      <c r="K44" s="2">
        <v>25.376000000000001</v>
      </c>
      <c r="L44" s="2">
        <v>0.82899999999999996</v>
      </c>
      <c r="M44" s="2">
        <f t="shared" si="6"/>
        <v>5.024950495049505</v>
      </c>
      <c r="N44" s="2">
        <f t="shared" si="7"/>
        <v>0.16415841584158417</v>
      </c>
      <c r="O44" s="8">
        <v>1064500000</v>
      </c>
      <c r="P44" s="8">
        <f t="shared" si="2"/>
        <v>9.0271456657743414</v>
      </c>
      <c r="Q44" s="12">
        <v>817000</v>
      </c>
      <c r="R44" s="12">
        <f t="shared" si="3"/>
        <v>5.9122220565324151</v>
      </c>
    </row>
    <row r="45" spans="1:18" x14ac:dyDescent="0.25">
      <c r="A45" s="1">
        <f t="shared" si="4"/>
        <v>44</v>
      </c>
      <c r="B45" s="1">
        <f t="shared" si="5"/>
        <v>744</v>
      </c>
      <c r="C45" t="s">
        <v>7</v>
      </c>
      <c r="D45" t="s">
        <v>44</v>
      </c>
      <c r="E45" t="s">
        <v>47</v>
      </c>
      <c r="F45" t="s">
        <v>38</v>
      </c>
      <c r="G45">
        <v>21</v>
      </c>
      <c r="H45">
        <v>7</v>
      </c>
      <c r="I45" t="s">
        <v>13</v>
      </c>
      <c r="J45" s="2">
        <v>565</v>
      </c>
      <c r="K45" s="2">
        <v>36.99</v>
      </c>
      <c r="L45" s="2">
        <v>1.4550000000000001</v>
      </c>
      <c r="M45" s="2">
        <f t="shared" si="6"/>
        <v>6.5469026548672566</v>
      </c>
      <c r="N45" s="2">
        <f t="shared" si="7"/>
        <v>0.25752212389380535</v>
      </c>
      <c r="O45" s="8">
        <v>5935000000</v>
      </c>
      <c r="P45" s="8">
        <f t="shared" si="2"/>
        <v>9.7734207232906094</v>
      </c>
      <c r="Q45" s="12">
        <v>2140000</v>
      </c>
      <c r="R45" s="12">
        <f t="shared" si="3"/>
        <v>6.330413773349191</v>
      </c>
    </row>
    <row r="46" spans="1:18" x14ac:dyDescent="0.25">
      <c r="A46" s="1">
        <f t="shared" si="4"/>
        <v>45</v>
      </c>
      <c r="B46" s="1">
        <f t="shared" si="5"/>
        <v>745</v>
      </c>
      <c r="C46" t="s">
        <v>7</v>
      </c>
      <c r="D46" t="s">
        <v>44</v>
      </c>
      <c r="E46" t="s">
        <v>47</v>
      </c>
      <c r="F46" t="s">
        <v>38</v>
      </c>
      <c r="G46">
        <v>21</v>
      </c>
      <c r="H46">
        <v>7</v>
      </c>
      <c r="I46" t="s">
        <v>12</v>
      </c>
      <c r="J46" s="2">
        <v>590</v>
      </c>
      <c r="K46" s="2">
        <v>23.587</v>
      </c>
      <c r="L46" s="2">
        <v>1.238</v>
      </c>
      <c r="M46" s="2">
        <f t="shared" si="6"/>
        <v>3.9977966101694915</v>
      </c>
      <c r="N46" s="2">
        <f t="shared" si="7"/>
        <v>0.20983050847457629</v>
      </c>
      <c r="O46" s="8">
        <v>54650000</v>
      </c>
      <c r="P46" s="8">
        <f t="shared" si="2"/>
        <v>7.7375901662857212</v>
      </c>
      <c r="Q46" s="12">
        <v>126000</v>
      </c>
      <c r="R46" s="12">
        <f t="shared" si="3"/>
        <v>5.1003705451175625</v>
      </c>
    </row>
    <row r="47" spans="1:18" x14ac:dyDescent="0.25">
      <c r="A47" s="1">
        <f t="shared" si="4"/>
        <v>46</v>
      </c>
      <c r="B47" s="1">
        <f t="shared" si="5"/>
        <v>746</v>
      </c>
      <c r="C47" t="s">
        <v>7</v>
      </c>
      <c r="D47" t="s">
        <v>44</v>
      </c>
      <c r="E47" t="s">
        <v>47</v>
      </c>
      <c r="F47" t="s">
        <v>38</v>
      </c>
      <c r="G47">
        <v>28</v>
      </c>
      <c r="H47">
        <v>14</v>
      </c>
      <c r="I47" t="s">
        <v>13</v>
      </c>
      <c r="J47" s="2">
        <v>935</v>
      </c>
      <c r="K47" s="2">
        <v>25.045000000000002</v>
      </c>
      <c r="L47" s="2">
        <v>1.0740000000000001</v>
      </c>
      <c r="M47" s="2">
        <f t="shared" si="6"/>
        <v>2.6786096256684497</v>
      </c>
      <c r="N47" s="2">
        <f t="shared" si="7"/>
        <v>0.11486631016042782</v>
      </c>
      <c r="O47" s="8">
        <v>2415</v>
      </c>
      <c r="P47" s="8">
        <f t="shared" si="2"/>
        <v>3.3829171350875309</v>
      </c>
      <c r="Q47" s="12">
        <v>573</v>
      </c>
      <c r="R47" s="12">
        <f t="shared" si="3"/>
        <v>2.7581546219673898</v>
      </c>
    </row>
    <row r="48" spans="1:18" x14ac:dyDescent="0.25">
      <c r="A48" s="1">
        <f t="shared" si="4"/>
        <v>47</v>
      </c>
      <c r="B48" s="1">
        <f t="shared" si="5"/>
        <v>747</v>
      </c>
      <c r="C48" t="s">
        <v>7</v>
      </c>
      <c r="D48" t="s">
        <v>44</v>
      </c>
      <c r="E48" t="s">
        <v>47</v>
      </c>
      <c r="F48" t="s">
        <v>38</v>
      </c>
      <c r="G48">
        <v>28</v>
      </c>
      <c r="H48">
        <v>14</v>
      </c>
      <c r="I48" t="s">
        <v>12</v>
      </c>
      <c r="J48" s="2">
        <v>845</v>
      </c>
      <c r="K48" s="2">
        <v>28.53</v>
      </c>
      <c r="L48" s="2">
        <v>1.1850000000000001</v>
      </c>
      <c r="M48" s="2">
        <f t="shared" si="6"/>
        <v>3.3763313609467458</v>
      </c>
      <c r="N48" s="2">
        <f t="shared" si="7"/>
        <v>0.14023668639053255</v>
      </c>
      <c r="O48" s="8">
        <v>752.5</v>
      </c>
      <c r="P48" s="8">
        <f t="shared" si="2"/>
        <v>2.8765065042658811</v>
      </c>
      <c r="Q48" s="12">
        <v>3425</v>
      </c>
      <c r="R48" s="12">
        <f t="shared" si="3"/>
        <v>3.5346605758284442</v>
      </c>
    </row>
    <row r="49" spans="1:18" x14ac:dyDescent="0.25">
      <c r="A49" s="1">
        <f t="shared" si="4"/>
        <v>48</v>
      </c>
      <c r="B49" s="1">
        <f t="shared" si="5"/>
        <v>748</v>
      </c>
      <c r="C49" t="s">
        <v>7</v>
      </c>
      <c r="D49" t="s">
        <v>44</v>
      </c>
      <c r="E49" t="s">
        <v>47</v>
      </c>
      <c r="F49" t="s">
        <v>38</v>
      </c>
      <c r="G49">
        <v>28</v>
      </c>
      <c r="H49">
        <v>14</v>
      </c>
      <c r="I49" t="s">
        <v>12</v>
      </c>
      <c r="J49" s="2">
        <v>745</v>
      </c>
      <c r="K49" s="2">
        <v>24.026</v>
      </c>
      <c r="L49" s="2">
        <v>0.876</v>
      </c>
      <c r="M49" s="2">
        <f t="shared" si="6"/>
        <v>3.2249664429530203</v>
      </c>
      <c r="N49" s="2">
        <f t="shared" si="7"/>
        <v>0.11758389261744967</v>
      </c>
      <c r="O49" s="8">
        <v>85</v>
      </c>
      <c r="P49" s="8">
        <f t="shared" si="2"/>
        <v>1.9294189257142926</v>
      </c>
      <c r="Q49" s="12">
        <v>755.5</v>
      </c>
      <c r="R49" s="12">
        <f t="shared" si="3"/>
        <v>2.8782344686750441</v>
      </c>
    </row>
    <row r="50" spans="1:18" x14ac:dyDescent="0.25">
      <c r="A50" s="1">
        <f t="shared" si="4"/>
        <v>49</v>
      </c>
      <c r="B50" s="1">
        <f t="shared" si="5"/>
        <v>749</v>
      </c>
      <c r="C50" t="s">
        <v>7</v>
      </c>
      <c r="D50" t="s">
        <v>44</v>
      </c>
      <c r="E50" t="s">
        <v>47</v>
      </c>
      <c r="F50" t="s">
        <v>38</v>
      </c>
      <c r="G50">
        <v>28</v>
      </c>
      <c r="H50">
        <v>14</v>
      </c>
      <c r="I50" t="s">
        <v>12</v>
      </c>
      <c r="J50" s="2">
        <v>795</v>
      </c>
      <c r="K50" s="2">
        <v>27.960999999999999</v>
      </c>
      <c r="L50" s="2">
        <v>1.177</v>
      </c>
      <c r="M50" s="2">
        <f t="shared" si="6"/>
        <v>3.5171069182389934</v>
      </c>
      <c r="N50" s="2">
        <f t="shared" si="7"/>
        <v>0.14805031446540881</v>
      </c>
      <c r="O50" s="8">
        <v>3425</v>
      </c>
      <c r="P50" s="8">
        <f t="shared" si="2"/>
        <v>3.5346605758284442</v>
      </c>
      <c r="Q50" s="12">
        <v>132000</v>
      </c>
      <c r="R50" s="12">
        <f t="shared" si="3"/>
        <v>5.1205739312058496</v>
      </c>
    </row>
    <row r="51" spans="1:18" x14ac:dyDescent="0.25">
      <c r="A51" s="1">
        <f t="shared" si="4"/>
        <v>50</v>
      </c>
      <c r="B51" s="1">
        <f t="shared" si="5"/>
        <v>750</v>
      </c>
      <c r="C51" t="s">
        <v>7</v>
      </c>
      <c r="D51" t="s">
        <v>44</v>
      </c>
      <c r="E51" t="s">
        <v>47</v>
      </c>
      <c r="F51" t="s">
        <v>38</v>
      </c>
      <c r="G51">
        <v>28</v>
      </c>
      <c r="H51">
        <v>14</v>
      </c>
      <c r="I51" t="s">
        <v>12</v>
      </c>
      <c r="J51" s="2">
        <v>785</v>
      </c>
      <c r="K51" s="2">
        <v>23.902999999999999</v>
      </c>
      <c r="L51" s="2">
        <v>1.03</v>
      </c>
      <c r="M51" s="2">
        <f t="shared" si="6"/>
        <v>3.0449681528662418</v>
      </c>
      <c r="N51" s="2">
        <f t="shared" si="7"/>
        <v>0.13121019108280257</v>
      </c>
      <c r="O51" s="8">
        <v>9545</v>
      </c>
      <c r="P51" s="8">
        <f t="shared" si="2"/>
        <v>3.9797759327296856</v>
      </c>
      <c r="Q51" s="12">
        <v>115000</v>
      </c>
      <c r="R51" s="12">
        <f t="shared" si="3"/>
        <v>5.0606978403536118</v>
      </c>
    </row>
    <row r="52" spans="1:18" x14ac:dyDescent="0.25">
      <c r="A52" s="1">
        <f t="shared" si="4"/>
        <v>51</v>
      </c>
      <c r="B52" s="1">
        <f t="shared" si="5"/>
        <v>751</v>
      </c>
      <c r="C52" t="s">
        <v>8</v>
      </c>
      <c r="D52" t="s">
        <v>44</v>
      </c>
      <c r="E52" t="s">
        <v>48</v>
      </c>
      <c r="F52" t="s">
        <v>38</v>
      </c>
      <c r="G52">
        <v>14</v>
      </c>
      <c r="H52">
        <v>0</v>
      </c>
      <c r="I52" t="s">
        <v>13</v>
      </c>
      <c r="J52" s="2">
        <v>325</v>
      </c>
      <c r="K52" s="2">
        <v>13.263</v>
      </c>
      <c r="L52" s="2">
        <v>0.35799999999999998</v>
      </c>
      <c r="M52" s="2">
        <f t="shared" si="6"/>
        <v>4.0809230769230771</v>
      </c>
      <c r="N52" s="2">
        <f t="shared" si="7"/>
        <v>0.11015384615384616</v>
      </c>
      <c r="O52" s="8">
        <v>1</v>
      </c>
      <c r="P52" s="8">
        <f t="shared" si="2"/>
        <v>0</v>
      </c>
      <c r="Q52" s="8">
        <v>1</v>
      </c>
      <c r="R52" s="12">
        <f t="shared" si="3"/>
        <v>0</v>
      </c>
    </row>
    <row r="53" spans="1:18" x14ac:dyDescent="0.25">
      <c r="A53" s="1">
        <f t="shared" si="4"/>
        <v>52</v>
      </c>
      <c r="B53" s="1">
        <f t="shared" si="5"/>
        <v>752</v>
      </c>
      <c r="C53" t="s">
        <v>8</v>
      </c>
      <c r="D53" t="s">
        <v>44</v>
      </c>
      <c r="E53" t="s">
        <v>48</v>
      </c>
      <c r="F53" t="s">
        <v>38</v>
      </c>
      <c r="G53">
        <v>14</v>
      </c>
      <c r="H53">
        <v>0</v>
      </c>
      <c r="I53" t="s">
        <v>13</v>
      </c>
      <c r="J53" s="2">
        <v>290</v>
      </c>
      <c r="K53" s="2">
        <v>10.37</v>
      </c>
      <c r="L53" s="2">
        <v>0.23100000000000001</v>
      </c>
      <c r="M53" s="2">
        <f t="shared" si="6"/>
        <v>3.5758620689655172</v>
      </c>
      <c r="N53" s="2">
        <f t="shared" si="7"/>
        <v>7.9655172413793107E-2</v>
      </c>
      <c r="O53" s="8">
        <v>1</v>
      </c>
      <c r="P53" s="8">
        <f t="shared" si="2"/>
        <v>0</v>
      </c>
      <c r="Q53" s="8">
        <v>1</v>
      </c>
      <c r="R53" s="12">
        <f t="shared" si="3"/>
        <v>0</v>
      </c>
    </row>
    <row r="54" spans="1:18" x14ac:dyDescent="0.25">
      <c r="A54" s="1">
        <f t="shared" si="4"/>
        <v>53</v>
      </c>
      <c r="B54" s="1">
        <f t="shared" si="5"/>
        <v>753</v>
      </c>
      <c r="C54" t="s">
        <v>8</v>
      </c>
      <c r="D54" t="s">
        <v>44</v>
      </c>
      <c r="E54" t="s">
        <v>48</v>
      </c>
      <c r="F54" t="s">
        <v>38</v>
      </c>
      <c r="G54">
        <v>14</v>
      </c>
      <c r="H54">
        <v>0</v>
      </c>
      <c r="I54" t="s">
        <v>12</v>
      </c>
      <c r="J54" s="2">
        <v>270</v>
      </c>
      <c r="K54" s="2">
        <v>10.259</v>
      </c>
      <c r="L54" s="2">
        <v>0.16900000000000001</v>
      </c>
      <c r="M54" s="2">
        <f t="shared" si="6"/>
        <v>3.7996296296296297</v>
      </c>
      <c r="N54" s="2">
        <f t="shared" si="7"/>
        <v>6.2592592592592589E-2</v>
      </c>
      <c r="O54" s="8">
        <v>1</v>
      </c>
      <c r="P54" s="8">
        <f t="shared" si="2"/>
        <v>0</v>
      </c>
      <c r="Q54" s="8">
        <v>1</v>
      </c>
      <c r="R54" s="12">
        <f t="shared" si="3"/>
        <v>0</v>
      </c>
    </row>
    <row r="55" spans="1:18" x14ac:dyDescent="0.25">
      <c r="A55" s="1">
        <f t="shared" si="4"/>
        <v>54</v>
      </c>
      <c r="B55" s="1">
        <f t="shared" si="5"/>
        <v>754</v>
      </c>
      <c r="C55" t="s">
        <v>8</v>
      </c>
      <c r="D55" t="s">
        <v>44</v>
      </c>
      <c r="E55" t="s">
        <v>48</v>
      </c>
      <c r="F55" t="s">
        <v>38</v>
      </c>
      <c r="G55">
        <v>14</v>
      </c>
      <c r="H55">
        <v>0</v>
      </c>
      <c r="I55" t="s">
        <v>12</v>
      </c>
      <c r="J55" s="2">
        <v>265</v>
      </c>
      <c r="K55" s="2">
        <v>12.371</v>
      </c>
      <c r="L55" s="2">
        <v>0.22</v>
      </c>
      <c r="M55" s="2">
        <f t="shared" si="6"/>
        <v>4.6683018867924533</v>
      </c>
      <c r="N55" s="2">
        <f t="shared" si="7"/>
        <v>8.3018867924528297E-2</v>
      </c>
      <c r="O55" s="8">
        <v>1</v>
      </c>
      <c r="P55" s="8">
        <f t="shared" si="2"/>
        <v>0</v>
      </c>
      <c r="Q55" s="8">
        <v>1</v>
      </c>
      <c r="R55" s="12">
        <f t="shared" si="3"/>
        <v>0</v>
      </c>
    </row>
    <row r="56" spans="1:18" x14ac:dyDescent="0.25">
      <c r="A56" s="1">
        <f t="shared" si="4"/>
        <v>55</v>
      </c>
      <c r="B56" s="1">
        <f t="shared" si="5"/>
        <v>755</v>
      </c>
      <c r="C56" t="s">
        <v>8</v>
      </c>
      <c r="D56" t="s">
        <v>44</v>
      </c>
      <c r="E56" t="s">
        <v>48</v>
      </c>
      <c r="F56" t="s">
        <v>38</v>
      </c>
      <c r="G56">
        <v>14</v>
      </c>
      <c r="H56">
        <v>0</v>
      </c>
      <c r="I56" t="s">
        <v>13</v>
      </c>
      <c r="J56" s="2">
        <v>290</v>
      </c>
      <c r="K56" s="2">
        <v>12.173999999999999</v>
      </c>
      <c r="L56" s="2">
        <v>0.26700000000000002</v>
      </c>
      <c r="M56" s="2">
        <f t="shared" si="6"/>
        <v>4.1979310344827585</v>
      </c>
      <c r="N56" s="2">
        <f t="shared" si="7"/>
        <v>9.2068965517241391E-2</v>
      </c>
      <c r="O56" s="8">
        <v>1</v>
      </c>
      <c r="P56" s="8">
        <f t="shared" si="2"/>
        <v>0</v>
      </c>
      <c r="Q56" s="8">
        <v>1</v>
      </c>
      <c r="R56" s="12">
        <f t="shared" si="3"/>
        <v>0</v>
      </c>
    </row>
    <row r="57" spans="1:18" x14ac:dyDescent="0.25">
      <c r="A57" s="1">
        <f t="shared" si="4"/>
        <v>56</v>
      </c>
      <c r="B57" s="1">
        <f t="shared" si="5"/>
        <v>756</v>
      </c>
      <c r="C57" t="s">
        <v>8</v>
      </c>
      <c r="D57" t="s">
        <v>44</v>
      </c>
      <c r="E57" t="s">
        <v>48</v>
      </c>
      <c r="F57" t="s">
        <v>38</v>
      </c>
      <c r="G57">
        <v>17</v>
      </c>
      <c r="H57">
        <v>3</v>
      </c>
      <c r="I57" t="s">
        <v>13</v>
      </c>
      <c r="J57" s="2">
        <v>505</v>
      </c>
      <c r="K57" s="2">
        <v>22.593</v>
      </c>
      <c r="L57" s="2">
        <v>0.496</v>
      </c>
      <c r="M57" s="2">
        <f t="shared" si="6"/>
        <v>4.4738613861386138</v>
      </c>
      <c r="N57" s="2">
        <f t="shared" si="7"/>
        <v>9.8217821782178208E-2</v>
      </c>
      <c r="O57" s="8">
        <v>1</v>
      </c>
      <c r="P57" s="8">
        <f t="shared" si="2"/>
        <v>0</v>
      </c>
      <c r="Q57" s="8">
        <v>1</v>
      </c>
      <c r="R57" s="12">
        <f t="shared" si="3"/>
        <v>0</v>
      </c>
    </row>
    <row r="58" spans="1:18" x14ac:dyDescent="0.25">
      <c r="A58" s="1">
        <f t="shared" si="4"/>
        <v>57</v>
      </c>
      <c r="B58" s="1">
        <f t="shared" si="5"/>
        <v>757</v>
      </c>
      <c r="C58" t="s">
        <v>8</v>
      </c>
      <c r="D58" t="s">
        <v>44</v>
      </c>
      <c r="E58" t="s">
        <v>48</v>
      </c>
      <c r="F58" t="s">
        <v>38</v>
      </c>
      <c r="G58">
        <v>17</v>
      </c>
      <c r="H58">
        <v>3</v>
      </c>
      <c r="I58" t="s">
        <v>12</v>
      </c>
      <c r="J58" s="2">
        <v>400</v>
      </c>
      <c r="K58" s="2">
        <v>14.257</v>
      </c>
      <c r="L58" s="2">
        <v>0.35799999999999998</v>
      </c>
      <c r="M58" s="2">
        <f t="shared" si="6"/>
        <v>3.5642499999999999</v>
      </c>
      <c r="N58" s="2">
        <f t="shared" si="7"/>
        <v>8.9499999999999996E-2</v>
      </c>
      <c r="O58" s="8">
        <v>1</v>
      </c>
      <c r="P58" s="8">
        <f t="shared" si="2"/>
        <v>0</v>
      </c>
      <c r="Q58" s="8">
        <v>1</v>
      </c>
      <c r="R58" s="12">
        <f t="shared" si="3"/>
        <v>0</v>
      </c>
    </row>
    <row r="59" spans="1:18" x14ac:dyDescent="0.25">
      <c r="A59" s="1">
        <f t="shared" si="4"/>
        <v>58</v>
      </c>
      <c r="B59" s="1">
        <f t="shared" si="5"/>
        <v>758</v>
      </c>
      <c r="C59" t="s">
        <v>8</v>
      </c>
      <c r="D59" t="s">
        <v>44</v>
      </c>
      <c r="E59" t="s">
        <v>48</v>
      </c>
      <c r="F59" t="s">
        <v>38</v>
      </c>
      <c r="G59">
        <v>17</v>
      </c>
      <c r="H59">
        <v>3</v>
      </c>
      <c r="I59" t="s">
        <v>13</v>
      </c>
      <c r="J59" s="2">
        <v>430</v>
      </c>
      <c r="K59" s="2">
        <v>18.956</v>
      </c>
      <c r="L59" s="2">
        <v>0.30099999999999999</v>
      </c>
      <c r="M59" s="2">
        <f t="shared" si="6"/>
        <v>4.4083720930232557</v>
      </c>
      <c r="N59" s="2">
        <f t="shared" si="7"/>
        <v>6.9999999999999993E-2</v>
      </c>
      <c r="O59" s="8">
        <v>1</v>
      </c>
      <c r="P59" s="8">
        <f t="shared" si="2"/>
        <v>0</v>
      </c>
      <c r="Q59" s="8">
        <v>1</v>
      </c>
      <c r="R59" s="12">
        <f t="shared" si="3"/>
        <v>0</v>
      </c>
    </row>
    <row r="60" spans="1:18" x14ac:dyDescent="0.25">
      <c r="A60" s="1">
        <f t="shared" si="4"/>
        <v>59</v>
      </c>
      <c r="B60" s="1">
        <f t="shared" si="5"/>
        <v>759</v>
      </c>
      <c r="C60" t="s">
        <v>8</v>
      </c>
      <c r="D60" t="s">
        <v>44</v>
      </c>
      <c r="E60" t="s">
        <v>48</v>
      </c>
      <c r="F60" t="s">
        <v>38</v>
      </c>
      <c r="G60">
        <v>17</v>
      </c>
      <c r="H60">
        <v>3</v>
      </c>
      <c r="I60" t="s">
        <v>12</v>
      </c>
      <c r="J60" s="2">
        <v>450</v>
      </c>
      <c r="K60" s="2">
        <v>16.084</v>
      </c>
      <c r="L60" s="2">
        <v>0.39900000000000002</v>
      </c>
      <c r="M60" s="2">
        <f t="shared" si="6"/>
        <v>3.5742222222222222</v>
      </c>
      <c r="N60" s="2">
        <f t="shared" si="7"/>
        <v>8.8666666666666671E-2</v>
      </c>
      <c r="O60" s="8">
        <v>1</v>
      </c>
      <c r="P60" s="8">
        <f t="shared" si="2"/>
        <v>0</v>
      </c>
      <c r="Q60" s="8">
        <v>1</v>
      </c>
      <c r="R60" s="12">
        <f t="shared" si="3"/>
        <v>0</v>
      </c>
    </row>
    <row r="61" spans="1:18" x14ac:dyDescent="0.25">
      <c r="A61" s="1">
        <f t="shared" si="4"/>
        <v>60</v>
      </c>
      <c r="B61" s="1">
        <f t="shared" si="5"/>
        <v>760</v>
      </c>
      <c r="C61" t="s">
        <v>8</v>
      </c>
      <c r="D61" t="s">
        <v>44</v>
      </c>
      <c r="E61" t="s">
        <v>48</v>
      </c>
      <c r="F61" t="s">
        <v>38</v>
      </c>
      <c r="G61">
        <v>17</v>
      </c>
      <c r="H61">
        <v>3</v>
      </c>
      <c r="I61" t="s">
        <v>13</v>
      </c>
      <c r="J61" s="2">
        <v>400</v>
      </c>
      <c r="K61" s="2">
        <v>15.26</v>
      </c>
      <c r="L61" s="2">
        <v>0.33400000000000002</v>
      </c>
      <c r="M61" s="2">
        <f t="shared" si="6"/>
        <v>3.8149999999999995</v>
      </c>
      <c r="N61" s="2">
        <f t="shared" si="7"/>
        <v>8.3500000000000005E-2</v>
      </c>
      <c r="O61" s="8">
        <v>1</v>
      </c>
      <c r="P61" s="8">
        <f t="shared" si="2"/>
        <v>0</v>
      </c>
      <c r="Q61" s="8">
        <v>1</v>
      </c>
      <c r="R61" s="12">
        <f t="shared" si="3"/>
        <v>0</v>
      </c>
    </row>
    <row r="62" spans="1:18" x14ac:dyDescent="0.25">
      <c r="A62" s="1">
        <f t="shared" si="4"/>
        <v>61</v>
      </c>
      <c r="B62" s="1">
        <f t="shared" si="5"/>
        <v>761</v>
      </c>
      <c r="C62" t="s">
        <v>8</v>
      </c>
      <c r="D62" t="s">
        <v>44</v>
      </c>
      <c r="E62" t="s">
        <v>48</v>
      </c>
      <c r="F62" t="s">
        <v>38</v>
      </c>
      <c r="G62">
        <v>19</v>
      </c>
      <c r="H62">
        <v>5</v>
      </c>
      <c r="I62" t="s">
        <v>13</v>
      </c>
      <c r="J62" s="2">
        <v>565</v>
      </c>
      <c r="K62" s="2">
        <v>24.696000000000002</v>
      </c>
      <c r="L62" s="2">
        <v>0.84899999999999998</v>
      </c>
      <c r="M62" s="2">
        <f t="shared" si="6"/>
        <v>4.3709734513274343</v>
      </c>
      <c r="N62" s="2">
        <f t="shared" si="7"/>
        <v>0.1502654867256637</v>
      </c>
      <c r="O62" s="8">
        <v>1</v>
      </c>
      <c r="P62" s="8">
        <f t="shared" si="2"/>
        <v>0</v>
      </c>
      <c r="Q62" s="8">
        <v>1</v>
      </c>
      <c r="R62" s="12">
        <f t="shared" si="3"/>
        <v>0</v>
      </c>
    </row>
    <row r="63" spans="1:18" x14ac:dyDescent="0.25">
      <c r="A63" s="1">
        <f t="shared" si="4"/>
        <v>62</v>
      </c>
      <c r="B63" s="1">
        <f t="shared" si="5"/>
        <v>762</v>
      </c>
      <c r="C63" t="s">
        <v>8</v>
      </c>
      <c r="D63" t="s">
        <v>44</v>
      </c>
      <c r="E63" t="s">
        <v>48</v>
      </c>
      <c r="F63" t="s">
        <v>38</v>
      </c>
      <c r="G63">
        <v>19</v>
      </c>
      <c r="H63">
        <v>5</v>
      </c>
      <c r="I63" t="s">
        <v>12</v>
      </c>
      <c r="J63" s="2">
        <v>545</v>
      </c>
      <c r="K63" s="2">
        <v>17.751999999999999</v>
      </c>
      <c r="L63" s="2">
        <v>0.52500000000000002</v>
      </c>
      <c r="M63" s="2">
        <f t="shared" si="6"/>
        <v>3.2572477064220182</v>
      </c>
      <c r="N63" s="2">
        <f t="shared" si="7"/>
        <v>9.6330275229357804E-2</v>
      </c>
      <c r="O63" s="8">
        <v>1</v>
      </c>
      <c r="P63" s="8">
        <f t="shared" si="2"/>
        <v>0</v>
      </c>
      <c r="Q63" s="8">
        <v>1</v>
      </c>
      <c r="R63" s="12">
        <f t="shared" si="3"/>
        <v>0</v>
      </c>
    </row>
    <row r="64" spans="1:18" x14ac:dyDescent="0.25">
      <c r="A64" s="1">
        <f t="shared" si="4"/>
        <v>63</v>
      </c>
      <c r="B64" s="1">
        <f t="shared" si="5"/>
        <v>763</v>
      </c>
      <c r="C64" t="s">
        <v>8</v>
      </c>
      <c r="D64" t="s">
        <v>44</v>
      </c>
      <c r="E64" t="s">
        <v>48</v>
      </c>
      <c r="F64" t="s">
        <v>38</v>
      </c>
      <c r="G64">
        <v>19</v>
      </c>
      <c r="H64">
        <v>5</v>
      </c>
      <c r="I64" t="s">
        <v>13</v>
      </c>
      <c r="J64" s="2">
        <v>615</v>
      </c>
      <c r="K64" s="2">
        <v>20.45</v>
      </c>
      <c r="L64" s="2">
        <v>0.52</v>
      </c>
      <c r="M64" s="2">
        <f t="shared" si="6"/>
        <v>3.3252032520325199</v>
      </c>
      <c r="N64" s="2">
        <f t="shared" si="7"/>
        <v>8.4552845528455295E-2</v>
      </c>
      <c r="O64" s="8">
        <v>1</v>
      </c>
      <c r="P64" s="8">
        <f t="shared" si="2"/>
        <v>0</v>
      </c>
      <c r="Q64" s="8">
        <v>1</v>
      </c>
      <c r="R64" s="12">
        <f t="shared" si="3"/>
        <v>0</v>
      </c>
    </row>
    <row r="65" spans="1:18" x14ac:dyDescent="0.25">
      <c r="A65" s="1">
        <f t="shared" si="4"/>
        <v>64</v>
      </c>
      <c r="B65" s="1">
        <f t="shared" si="5"/>
        <v>764</v>
      </c>
      <c r="C65" t="s">
        <v>8</v>
      </c>
      <c r="D65" t="s">
        <v>44</v>
      </c>
      <c r="E65" t="s">
        <v>48</v>
      </c>
      <c r="F65" t="s">
        <v>38</v>
      </c>
      <c r="G65">
        <v>19</v>
      </c>
      <c r="H65">
        <v>5</v>
      </c>
      <c r="I65" t="s">
        <v>13</v>
      </c>
      <c r="J65" s="2">
        <v>570</v>
      </c>
      <c r="K65" s="2">
        <v>23.960999999999999</v>
      </c>
      <c r="L65" s="2">
        <v>0.83499999999999996</v>
      </c>
      <c r="M65" s="2">
        <f t="shared" si="6"/>
        <v>4.2036842105263155</v>
      </c>
      <c r="N65" s="2">
        <f t="shared" si="7"/>
        <v>0.14649122807017542</v>
      </c>
      <c r="O65" s="8">
        <v>1</v>
      </c>
      <c r="P65" s="8">
        <f t="shared" si="2"/>
        <v>0</v>
      </c>
      <c r="Q65" s="8">
        <v>1</v>
      </c>
      <c r="R65" s="12">
        <f t="shared" si="3"/>
        <v>0</v>
      </c>
    </row>
    <row r="66" spans="1:18" x14ac:dyDescent="0.25">
      <c r="A66" s="1">
        <f t="shared" si="4"/>
        <v>65</v>
      </c>
      <c r="B66" s="1">
        <f t="shared" si="5"/>
        <v>765</v>
      </c>
      <c r="C66" t="s">
        <v>8</v>
      </c>
      <c r="D66" t="s">
        <v>44</v>
      </c>
      <c r="E66" t="s">
        <v>48</v>
      </c>
      <c r="F66" t="s">
        <v>38</v>
      </c>
      <c r="G66">
        <v>19</v>
      </c>
      <c r="H66">
        <v>5</v>
      </c>
      <c r="I66" t="s">
        <v>13</v>
      </c>
      <c r="J66" s="2">
        <v>495</v>
      </c>
      <c r="K66" s="2">
        <v>18.43</v>
      </c>
      <c r="L66" s="2">
        <v>0.73599999999999999</v>
      </c>
      <c r="M66" s="2">
        <f t="shared" ref="M66:M99" si="8">(K66/J66)*100</f>
        <v>3.7232323232323234</v>
      </c>
      <c r="N66" s="2">
        <f t="shared" ref="N66:N99" si="9">(L66/J66)*100</f>
        <v>0.14868686868686867</v>
      </c>
      <c r="O66" s="8">
        <v>1</v>
      </c>
      <c r="P66" s="8">
        <f t="shared" si="2"/>
        <v>0</v>
      </c>
      <c r="Q66" s="8">
        <v>1</v>
      </c>
      <c r="R66" s="12">
        <f t="shared" si="3"/>
        <v>0</v>
      </c>
    </row>
    <row r="67" spans="1:18" x14ac:dyDescent="0.25">
      <c r="A67" s="1">
        <f t="shared" si="4"/>
        <v>66</v>
      </c>
      <c r="B67" s="1">
        <f t="shared" si="5"/>
        <v>766</v>
      </c>
      <c r="C67" t="s">
        <v>8</v>
      </c>
      <c r="D67" t="s">
        <v>44</v>
      </c>
      <c r="E67" t="s">
        <v>48</v>
      </c>
      <c r="F67" t="s">
        <v>38</v>
      </c>
      <c r="G67">
        <v>21</v>
      </c>
      <c r="H67">
        <v>7</v>
      </c>
      <c r="I67" t="s">
        <v>12</v>
      </c>
      <c r="J67" s="2">
        <v>575</v>
      </c>
      <c r="K67" s="2">
        <v>23.893000000000001</v>
      </c>
      <c r="L67" s="2">
        <v>0.57099999999999995</v>
      </c>
      <c r="M67" s="2">
        <f t="shared" si="8"/>
        <v>4.1553043478260872</v>
      </c>
      <c r="N67" s="2">
        <f t="shared" si="9"/>
        <v>9.9304347826086964E-2</v>
      </c>
      <c r="O67" s="8">
        <v>1</v>
      </c>
      <c r="P67" s="8">
        <f t="shared" ref="P67:P130" si="10">LOG10(O67)</f>
        <v>0</v>
      </c>
      <c r="Q67" s="8">
        <v>1</v>
      </c>
      <c r="R67" s="12">
        <f t="shared" ref="R67:R130" si="11">LOG10(Q67)</f>
        <v>0</v>
      </c>
    </row>
    <row r="68" spans="1:18" x14ac:dyDescent="0.25">
      <c r="A68" s="1">
        <f t="shared" ref="A68:A99" si="12">A67+1</f>
        <v>67</v>
      </c>
      <c r="B68" s="1">
        <f t="shared" si="5"/>
        <v>767</v>
      </c>
      <c r="C68" t="s">
        <v>8</v>
      </c>
      <c r="D68" t="s">
        <v>44</v>
      </c>
      <c r="E68" t="s">
        <v>48</v>
      </c>
      <c r="F68" t="s">
        <v>38</v>
      </c>
      <c r="G68">
        <v>21</v>
      </c>
      <c r="H68">
        <v>7</v>
      </c>
      <c r="I68" t="s">
        <v>13</v>
      </c>
      <c r="J68" s="2">
        <v>600</v>
      </c>
      <c r="K68" s="2">
        <v>20.256</v>
      </c>
      <c r="L68" s="2">
        <v>0.45600000000000002</v>
      </c>
      <c r="M68" s="2">
        <f t="shared" si="8"/>
        <v>3.3759999999999999</v>
      </c>
      <c r="N68" s="2">
        <f t="shared" si="9"/>
        <v>7.5999999999999998E-2</v>
      </c>
      <c r="O68" s="8">
        <v>1</v>
      </c>
      <c r="P68" s="8">
        <f t="shared" si="10"/>
        <v>0</v>
      </c>
      <c r="Q68" s="8">
        <v>1</v>
      </c>
      <c r="R68" s="12">
        <f t="shared" si="11"/>
        <v>0</v>
      </c>
    </row>
    <row r="69" spans="1:18" x14ac:dyDescent="0.25">
      <c r="A69" s="1">
        <f t="shared" si="12"/>
        <v>68</v>
      </c>
      <c r="B69" s="1">
        <f t="shared" ref="B69:B99" si="13">B68+1</f>
        <v>768</v>
      </c>
      <c r="C69" t="s">
        <v>8</v>
      </c>
      <c r="D69" t="s">
        <v>44</v>
      </c>
      <c r="E69" t="s">
        <v>48</v>
      </c>
      <c r="F69" t="s">
        <v>38</v>
      </c>
      <c r="G69">
        <v>21</v>
      </c>
      <c r="H69">
        <v>7</v>
      </c>
      <c r="I69" t="s">
        <v>13</v>
      </c>
      <c r="J69" s="2">
        <v>680</v>
      </c>
      <c r="K69" s="2">
        <v>27.108000000000001</v>
      </c>
      <c r="L69" s="2">
        <v>0.67200000000000004</v>
      </c>
      <c r="M69" s="2">
        <f t="shared" si="8"/>
        <v>3.986470588235294</v>
      </c>
      <c r="N69" s="2">
        <f t="shared" si="9"/>
        <v>9.8823529411764713E-2</v>
      </c>
      <c r="O69" s="8">
        <v>1</v>
      </c>
      <c r="P69" s="8">
        <f t="shared" si="10"/>
        <v>0</v>
      </c>
      <c r="Q69" s="8">
        <v>1</v>
      </c>
      <c r="R69" s="12">
        <f t="shared" si="11"/>
        <v>0</v>
      </c>
    </row>
    <row r="70" spans="1:18" x14ac:dyDescent="0.25">
      <c r="A70" s="1">
        <f t="shared" si="12"/>
        <v>69</v>
      </c>
      <c r="B70" s="1">
        <f t="shared" si="13"/>
        <v>769</v>
      </c>
      <c r="C70" t="s">
        <v>8</v>
      </c>
      <c r="D70" t="s">
        <v>44</v>
      </c>
      <c r="E70" t="s">
        <v>48</v>
      </c>
      <c r="F70" t="s">
        <v>38</v>
      </c>
      <c r="G70">
        <v>21</v>
      </c>
      <c r="H70">
        <v>7</v>
      </c>
      <c r="I70" t="s">
        <v>13</v>
      </c>
      <c r="J70" s="2">
        <v>565</v>
      </c>
      <c r="K70" s="2">
        <v>22.945</v>
      </c>
      <c r="L70" s="2">
        <v>0.61199999999999999</v>
      </c>
      <c r="M70" s="2">
        <f t="shared" si="8"/>
        <v>4.0610619469026545</v>
      </c>
      <c r="N70" s="2">
        <f t="shared" si="9"/>
        <v>0.10831858407079646</v>
      </c>
      <c r="O70" s="8">
        <v>1</v>
      </c>
      <c r="P70" s="8">
        <f t="shared" si="10"/>
        <v>0</v>
      </c>
      <c r="Q70" s="8">
        <v>1</v>
      </c>
      <c r="R70" s="12">
        <f t="shared" si="11"/>
        <v>0</v>
      </c>
    </row>
    <row r="71" spans="1:18" x14ac:dyDescent="0.25">
      <c r="A71" s="1">
        <f t="shared" si="12"/>
        <v>70</v>
      </c>
      <c r="B71" s="1">
        <f t="shared" si="13"/>
        <v>770</v>
      </c>
      <c r="C71" t="s">
        <v>8</v>
      </c>
      <c r="D71" t="s">
        <v>44</v>
      </c>
      <c r="E71" t="s">
        <v>48</v>
      </c>
      <c r="F71" t="s">
        <v>38</v>
      </c>
      <c r="G71">
        <v>21</v>
      </c>
      <c r="H71">
        <v>7</v>
      </c>
      <c r="I71" t="s">
        <v>12</v>
      </c>
      <c r="J71" s="2">
        <v>575</v>
      </c>
      <c r="K71" s="2">
        <v>18.178000000000001</v>
      </c>
      <c r="L71" s="2">
        <v>0.72099999999999997</v>
      </c>
      <c r="M71" s="2">
        <f t="shared" si="8"/>
        <v>3.1613913043478261</v>
      </c>
      <c r="N71" s="2">
        <f t="shared" si="9"/>
        <v>0.12539130434782608</v>
      </c>
      <c r="O71" s="8">
        <v>1</v>
      </c>
      <c r="P71" s="8">
        <f t="shared" si="10"/>
        <v>0</v>
      </c>
      <c r="Q71" s="8">
        <v>1</v>
      </c>
      <c r="R71" s="12">
        <f t="shared" si="11"/>
        <v>0</v>
      </c>
    </row>
    <row r="72" spans="1:18" x14ac:dyDescent="0.25">
      <c r="A72" s="1">
        <f t="shared" si="12"/>
        <v>71</v>
      </c>
      <c r="B72" s="1">
        <f t="shared" si="13"/>
        <v>771</v>
      </c>
      <c r="C72" t="s">
        <v>8</v>
      </c>
      <c r="D72" t="s">
        <v>44</v>
      </c>
      <c r="E72" t="s">
        <v>48</v>
      </c>
      <c r="F72" t="s">
        <v>38</v>
      </c>
      <c r="G72">
        <v>28</v>
      </c>
      <c r="H72">
        <v>14</v>
      </c>
      <c r="I72" t="s">
        <v>12</v>
      </c>
      <c r="J72" s="2">
        <v>875</v>
      </c>
      <c r="K72" s="2">
        <v>22.6</v>
      </c>
      <c r="L72" s="2">
        <v>1.069</v>
      </c>
      <c r="M72" s="2">
        <f t="shared" si="8"/>
        <v>2.5828571428571432</v>
      </c>
      <c r="N72" s="2">
        <f t="shared" si="9"/>
        <v>0.12217142857142856</v>
      </c>
      <c r="O72" s="8">
        <v>1</v>
      </c>
      <c r="P72" s="8">
        <f t="shared" si="10"/>
        <v>0</v>
      </c>
      <c r="Q72" s="8">
        <v>1</v>
      </c>
      <c r="R72" s="12">
        <f t="shared" si="11"/>
        <v>0</v>
      </c>
    </row>
    <row r="73" spans="1:18" x14ac:dyDescent="0.25">
      <c r="A73" s="1">
        <f t="shared" si="12"/>
        <v>72</v>
      </c>
      <c r="B73" s="1">
        <f t="shared" si="13"/>
        <v>772</v>
      </c>
      <c r="C73" t="s">
        <v>8</v>
      </c>
      <c r="D73" t="s">
        <v>44</v>
      </c>
      <c r="E73" t="s">
        <v>48</v>
      </c>
      <c r="F73" t="s">
        <v>38</v>
      </c>
      <c r="G73">
        <v>28</v>
      </c>
      <c r="H73">
        <v>14</v>
      </c>
      <c r="I73" t="s">
        <v>12</v>
      </c>
      <c r="J73" s="2">
        <v>780</v>
      </c>
      <c r="K73" s="2">
        <v>23.187999999999999</v>
      </c>
      <c r="L73" s="2">
        <v>0.93799999999999994</v>
      </c>
      <c r="M73" s="2">
        <f t="shared" si="8"/>
        <v>2.9728205128205127</v>
      </c>
      <c r="N73" s="2">
        <f t="shared" si="9"/>
        <v>0.12025641025641025</v>
      </c>
      <c r="O73" s="8">
        <v>1</v>
      </c>
      <c r="P73" s="8">
        <f t="shared" si="10"/>
        <v>0</v>
      </c>
      <c r="Q73" s="8">
        <v>1</v>
      </c>
      <c r="R73" s="12">
        <f t="shared" si="11"/>
        <v>0</v>
      </c>
    </row>
    <row r="74" spans="1:18" x14ac:dyDescent="0.25">
      <c r="A74" s="1">
        <f t="shared" si="12"/>
        <v>73</v>
      </c>
      <c r="B74" s="1">
        <f t="shared" si="13"/>
        <v>773</v>
      </c>
      <c r="C74" t="s">
        <v>8</v>
      </c>
      <c r="D74" t="s">
        <v>44</v>
      </c>
      <c r="E74" t="s">
        <v>48</v>
      </c>
      <c r="F74" t="s">
        <v>38</v>
      </c>
      <c r="G74">
        <v>28</v>
      </c>
      <c r="H74">
        <v>14</v>
      </c>
      <c r="I74" t="s">
        <v>13</v>
      </c>
      <c r="J74" s="2">
        <v>895</v>
      </c>
      <c r="K74" s="2">
        <v>22.786000000000001</v>
      </c>
      <c r="L74" s="2">
        <v>1.47</v>
      </c>
      <c r="M74" s="2">
        <f t="shared" si="8"/>
        <v>2.5459217877094971</v>
      </c>
      <c r="N74" s="2">
        <f t="shared" si="9"/>
        <v>0.16424581005586592</v>
      </c>
      <c r="O74" s="8">
        <v>1</v>
      </c>
      <c r="P74" s="8">
        <f t="shared" si="10"/>
        <v>0</v>
      </c>
      <c r="Q74" s="8">
        <v>1</v>
      </c>
      <c r="R74" s="12">
        <f t="shared" si="11"/>
        <v>0</v>
      </c>
    </row>
    <row r="75" spans="1:18" x14ac:dyDescent="0.25">
      <c r="A75" s="1">
        <f t="shared" si="12"/>
        <v>74</v>
      </c>
      <c r="B75" s="1">
        <f t="shared" si="13"/>
        <v>774</v>
      </c>
      <c r="C75" t="s">
        <v>8</v>
      </c>
      <c r="D75" t="s">
        <v>44</v>
      </c>
      <c r="E75" t="s">
        <v>48</v>
      </c>
      <c r="F75" t="s">
        <v>38</v>
      </c>
      <c r="G75">
        <v>28</v>
      </c>
      <c r="H75">
        <v>14</v>
      </c>
      <c r="I75" t="s">
        <v>13</v>
      </c>
      <c r="J75" s="2">
        <v>880</v>
      </c>
      <c r="K75" s="2">
        <v>25.969000000000001</v>
      </c>
      <c r="L75" s="2">
        <v>0.88900000000000001</v>
      </c>
      <c r="M75" s="2">
        <f t="shared" si="8"/>
        <v>2.9510227272727274</v>
      </c>
      <c r="N75" s="2">
        <f t="shared" si="9"/>
        <v>0.10102272727272726</v>
      </c>
      <c r="O75" s="8">
        <v>1</v>
      </c>
      <c r="P75" s="8">
        <f t="shared" si="10"/>
        <v>0</v>
      </c>
      <c r="Q75" s="8">
        <v>1</v>
      </c>
      <c r="R75" s="12">
        <f t="shared" si="11"/>
        <v>0</v>
      </c>
    </row>
    <row r="76" spans="1:18" x14ac:dyDescent="0.25">
      <c r="A76" s="1">
        <f t="shared" si="12"/>
        <v>75</v>
      </c>
      <c r="B76" s="1">
        <f t="shared" si="13"/>
        <v>775</v>
      </c>
      <c r="C76" t="s">
        <v>8</v>
      </c>
      <c r="D76" t="s">
        <v>44</v>
      </c>
      <c r="E76" t="s">
        <v>48</v>
      </c>
      <c r="F76" t="s">
        <v>38</v>
      </c>
      <c r="G76">
        <v>28</v>
      </c>
      <c r="H76">
        <v>14</v>
      </c>
      <c r="I76" t="s">
        <v>12</v>
      </c>
      <c r="J76" s="2">
        <v>780</v>
      </c>
      <c r="K76" s="2">
        <v>27.776</v>
      </c>
      <c r="L76" s="2">
        <v>0.78700000000000003</v>
      </c>
      <c r="M76" s="2">
        <f t="shared" si="8"/>
        <v>3.5610256410256413</v>
      </c>
      <c r="N76" s="2">
        <f t="shared" si="9"/>
        <v>0.10089743589743591</v>
      </c>
      <c r="O76" s="8">
        <v>1</v>
      </c>
      <c r="P76" s="8">
        <f t="shared" si="10"/>
        <v>0</v>
      </c>
      <c r="Q76" s="8">
        <v>1</v>
      </c>
      <c r="R76" s="12">
        <f t="shared" si="11"/>
        <v>0</v>
      </c>
    </row>
    <row r="77" spans="1:18" x14ac:dyDescent="0.25">
      <c r="A77" s="1">
        <f t="shared" si="12"/>
        <v>76</v>
      </c>
      <c r="B77" s="1">
        <f t="shared" si="13"/>
        <v>776</v>
      </c>
      <c r="C77" t="s">
        <v>9</v>
      </c>
      <c r="D77" t="s">
        <v>45</v>
      </c>
      <c r="E77" t="s">
        <v>46</v>
      </c>
      <c r="F77" t="s">
        <v>39</v>
      </c>
      <c r="G77">
        <v>14</v>
      </c>
      <c r="H77">
        <v>0</v>
      </c>
      <c r="I77" t="s">
        <v>12</v>
      </c>
      <c r="J77" s="2">
        <v>125</v>
      </c>
      <c r="K77" s="2">
        <v>3.9590000000000001</v>
      </c>
      <c r="L77" s="2">
        <v>0.23100000000000001</v>
      </c>
      <c r="M77" s="2">
        <f t="shared" si="8"/>
        <v>3.1671999999999998</v>
      </c>
      <c r="N77" s="2">
        <f t="shared" si="9"/>
        <v>0.18479999999999999</v>
      </c>
      <c r="O77" s="8">
        <v>1</v>
      </c>
      <c r="P77" s="8">
        <f t="shared" si="10"/>
        <v>0</v>
      </c>
      <c r="Q77" s="8">
        <v>1</v>
      </c>
      <c r="R77" s="12">
        <f t="shared" si="11"/>
        <v>0</v>
      </c>
    </row>
    <row r="78" spans="1:18" x14ac:dyDescent="0.25">
      <c r="A78" s="1">
        <f t="shared" si="12"/>
        <v>77</v>
      </c>
      <c r="B78" s="1">
        <f t="shared" si="13"/>
        <v>777</v>
      </c>
      <c r="C78" t="s">
        <v>9</v>
      </c>
      <c r="D78" t="s">
        <v>45</v>
      </c>
      <c r="E78" t="s">
        <v>46</v>
      </c>
      <c r="F78" t="s">
        <v>39</v>
      </c>
      <c r="G78">
        <v>14</v>
      </c>
      <c r="H78">
        <v>0</v>
      </c>
      <c r="I78" t="s">
        <v>13</v>
      </c>
      <c r="J78" s="2">
        <v>115</v>
      </c>
      <c r="K78" s="2">
        <v>4.4390000000000001</v>
      </c>
      <c r="L78" s="2">
        <v>0.14299999999999999</v>
      </c>
      <c r="M78" s="2">
        <f t="shared" si="8"/>
        <v>3.8600000000000003</v>
      </c>
      <c r="N78" s="2">
        <f t="shared" si="9"/>
        <v>0.12434782608695652</v>
      </c>
      <c r="O78" s="8">
        <v>1</v>
      </c>
      <c r="P78" s="8">
        <f t="shared" si="10"/>
        <v>0</v>
      </c>
      <c r="Q78" s="8">
        <v>1</v>
      </c>
      <c r="R78" s="12">
        <f t="shared" si="11"/>
        <v>0</v>
      </c>
    </row>
    <row r="79" spans="1:18" x14ac:dyDescent="0.25">
      <c r="A79" s="1">
        <f t="shared" si="12"/>
        <v>78</v>
      </c>
      <c r="B79" s="1">
        <f t="shared" si="13"/>
        <v>778</v>
      </c>
      <c r="C79" t="s">
        <v>9</v>
      </c>
      <c r="D79" t="s">
        <v>45</v>
      </c>
      <c r="E79" t="s">
        <v>46</v>
      </c>
      <c r="F79" t="s">
        <v>39</v>
      </c>
      <c r="G79">
        <v>14</v>
      </c>
      <c r="H79">
        <v>0</v>
      </c>
      <c r="I79" t="s">
        <v>13</v>
      </c>
      <c r="J79" s="2">
        <v>110</v>
      </c>
      <c r="K79" s="2">
        <v>3.5910000000000002</v>
      </c>
      <c r="L79" s="2">
        <v>0.16200000000000001</v>
      </c>
      <c r="M79" s="2">
        <f t="shared" si="8"/>
        <v>3.2645454545454546</v>
      </c>
      <c r="N79" s="2">
        <f t="shared" si="9"/>
        <v>0.14727272727272728</v>
      </c>
      <c r="O79" s="8">
        <v>1</v>
      </c>
      <c r="P79" s="8">
        <f t="shared" si="10"/>
        <v>0</v>
      </c>
      <c r="Q79" s="8">
        <v>1</v>
      </c>
      <c r="R79" s="12">
        <f t="shared" si="11"/>
        <v>0</v>
      </c>
    </row>
    <row r="80" spans="1:18" x14ac:dyDescent="0.25">
      <c r="A80" s="1">
        <f t="shared" si="12"/>
        <v>79</v>
      </c>
      <c r="B80" s="1">
        <f t="shared" si="13"/>
        <v>779</v>
      </c>
      <c r="C80" t="s">
        <v>9</v>
      </c>
      <c r="D80" t="s">
        <v>45</v>
      </c>
      <c r="E80" t="s">
        <v>46</v>
      </c>
      <c r="F80" t="s">
        <v>39</v>
      </c>
      <c r="G80">
        <v>14</v>
      </c>
      <c r="H80">
        <v>0</v>
      </c>
      <c r="I80" t="s">
        <v>13</v>
      </c>
      <c r="J80" s="2">
        <v>145</v>
      </c>
      <c r="K80" s="2">
        <v>4.4029999999999996</v>
      </c>
      <c r="L80" s="2">
        <v>0.23599999999999999</v>
      </c>
      <c r="M80" s="2">
        <f t="shared" si="8"/>
        <v>3.0365517241379307</v>
      </c>
      <c r="N80" s="2">
        <f t="shared" si="9"/>
        <v>0.16275862068965516</v>
      </c>
      <c r="O80" s="8">
        <v>1</v>
      </c>
      <c r="P80" s="8">
        <f t="shared" si="10"/>
        <v>0</v>
      </c>
      <c r="Q80" s="8">
        <v>1</v>
      </c>
      <c r="R80" s="12">
        <f t="shared" si="11"/>
        <v>0</v>
      </c>
    </row>
    <row r="81" spans="1:18" x14ac:dyDescent="0.25">
      <c r="A81" s="1">
        <f t="shared" si="12"/>
        <v>80</v>
      </c>
      <c r="B81" s="1">
        <f t="shared" si="13"/>
        <v>780</v>
      </c>
      <c r="C81" t="s">
        <v>9</v>
      </c>
      <c r="D81" t="s">
        <v>45</v>
      </c>
      <c r="E81" t="s">
        <v>46</v>
      </c>
      <c r="F81" t="s">
        <v>39</v>
      </c>
      <c r="G81">
        <v>14</v>
      </c>
      <c r="H81">
        <v>0</v>
      </c>
      <c r="I81" t="s">
        <v>13</v>
      </c>
      <c r="J81" s="2">
        <v>125</v>
      </c>
      <c r="K81" s="2">
        <v>5.3339999999999996</v>
      </c>
      <c r="L81" s="2">
        <v>0.127</v>
      </c>
      <c r="M81" s="2">
        <f t="shared" si="8"/>
        <v>4.2671999999999999</v>
      </c>
      <c r="N81" s="2">
        <f t="shared" si="9"/>
        <v>0.1016</v>
      </c>
      <c r="O81" s="8">
        <v>1</v>
      </c>
      <c r="P81" s="8">
        <f t="shared" si="10"/>
        <v>0</v>
      </c>
      <c r="Q81" s="8">
        <v>1</v>
      </c>
      <c r="R81" s="12">
        <f t="shared" si="11"/>
        <v>0</v>
      </c>
    </row>
    <row r="82" spans="1:18" x14ac:dyDescent="0.25">
      <c r="A82" s="1">
        <f t="shared" si="12"/>
        <v>81</v>
      </c>
      <c r="B82" s="1">
        <f t="shared" si="13"/>
        <v>781</v>
      </c>
      <c r="C82" t="s">
        <v>9</v>
      </c>
      <c r="D82" t="s">
        <v>45</v>
      </c>
      <c r="E82" t="s">
        <v>46</v>
      </c>
      <c r="F82" t="s">
        <v>39</v>
      </c>
      <c r="G82">
        <v>17</v>
      </c>
      <c r="H82">
        <v>3</v>
      </c>
      <c r="I82" t="s">
        <v>12</v>
      </c>
      <c r="J82" s="2">
        <v>145</v>
      </c>
      <c r="K82" s="2">
        <v>4.8079999999999998</v>
      </c>
      <c r="L82" s="2">
        <v>0.28599999999999998</v>
      </c>
      <c r="M82" s="2">
        <f t="shared" si="8"/>
        <v>3.3158620689655174</v>
      </c>
      <c r="N82" s="2">
        <f t="shared" si="9"/>
        <v>0.1972413793103448</v>
      </c>
      <c r="O82" s="8">
        <v>30450</v>
      </c>
      <c r="P82" s="8">
        <f t="shared" si="10"/>
        <v>4.4835872969688939</v>
      </c>
      <c r="Q82" s="12">
        <v>63.650000000000006</v>
      </c>
      <c r="R82" s="12">
        <f t="shared" si="11"/>
        <v>1.8037984079896743</v>
      </c>
    </row>
    <row r="83" spans="1:18" x14ac:dyDescent="0.25">
      <c r="A83" s="1">
        <f t="shared" si="12"/>
        <v>82</v>
      </c>
      <c r="B83" s="1">
        <f t="shared" si="13"/>
        <v>782</v>
      </c>
      <c r="C83" t="s">
        <v>9</v>
      </c>
      <c r="D83" t="s">
        <v>45</v>
      </c>
      <c r="E83" t="s">
        <v>46</v>
      </c>
      <c r="F83" t="s">
        <v>39</v>
      </c>
      <c r="G83">
        <v>17</v>
      </c>
      <c r="H83">
        <v>3</v>
      </c>
      <c r="I83" t="s">
        <v>13</v>
      </c>
      <c r="J83" s="2">
        <v>180</v>
      </c>
      <c r="K83" s="2">
        <v>6.2229999999999999</v>
      </c>
      <c r="L83" s="2">
        <v>0.29199999999999998</v>
      </c>
      <c r="M83" s="2">
        <f t="shared" si="8"/>
        <v>3.4572222222222218</v>
      </c>
      <c r="N83" s="2">
        <f t="shared" si="9"/>
        <v>0.16222222222222221</v>
      </c>
      <c r="O83" s="8">
        <v>2530000</v>
      </c>
      <c r="P83" s="8">
        <f t="shared" si="10"/>
        <v>6.4031205211758175</v>
      </c>
      <c r="Q83" s="12">
        <v>520.5</v>
      </c>
      <c r="R83" s="12">
        <f t="shared" si="11"/>
        <v>2.7164207338465549</v>
      </c>
    </row>
    <row r="84" spans="1:18" x14ac:dyDescent="0.25">
      <c r="A84" s="1">
        <f t="shared" si="12"/>
        <v>83</v>
      </c>
      <c r="B84" s="1">
        <f t="shared" si="13"/>
        <v>783</v>
      </c>
      <c r="C84" t="s">
        <v>9</v>
      </c>
      <c r="D84" t="s">
        <v>45</v>
      </c>
      <c r="E84" t="s">
        <v>46</v>
      </c>
      <c r="F84" t="s">
        <v>39</v>
      </c>
      <c r="G84">
        <v>17</v>
      </c>
      <c r="H84">
        <v>3</v>
      </c>
      <c r="I84" t="s">
        <v>12</v>
      </c>
      <c r="J84" s="2">
        <v>150</v>
      </c>
      <c r="K84" s="2">
        <v>5.3970000000000002</v>
      </c>
      <c r="L84" s="2">
        <v>0.28899999999999998</v>
      </c>
      <c r="M84" s="2">
        <f t="shared" si="8"/>
        <v>3.5980000000000003</v>
      </c>
      <c r="N84" s="2">
        <f t="shared" si="9"/>
        <v>0.19266666666666665</v>
      </c>
      <c r="O84" s="8">
        <v>155500</v>
      </c>
      <c r="P84" s="8">
        <f t="shared" si="10"/>
        <v>5.1917303933628567</v>
      </c>
      <c r="Q84" s="12">
        <v>698.5</v>
      </c>
      <c r="R84" s="12">
        <f t="shared" si="11"/>
        <v>2.8441664104502009</v>
      </c>
    </row>
    <row r="85" spans="1:18" x14ac:dyDescent="0.25">
      <c r="A85" s="1">
        <f t="shared" si="12"/>
        <v>84</v>
      </c>
      <c r="B85" s="1">
        <f t="shared" si="13"/>
        <v>784</v>
      </c>
      <c r="C85" t="s">
        <v>9</v>
      </c>
      <c r="D85" t="s">
        <v>45</v>
      </c>
      <c r="E85" t="s">
        <v>46</v>
      </c>
      <c r="F85" t="s">
        <v>39</v>
      </c>
      <c r="G85">
        <v>17</v>
      </c>
      <c r="H85">
        <v>3</v>
      </c>
      <c r="I85" t="s">
        <v>13</v>
      </c>
      <c r="J85" s="2">
        <v>175</v>
      </c>
      <c r="K85" s="2">
        <v>5.9370000000000003</v>
      </c>
      <c r="L85" s="2">
        <v>0.33800000000000002</v>
      </c>
      <c r="M85" s="2">
        <f t="shared" si="8"/>
        <v>3.3925714285714288</v>
      </c>
      <c r="N85" s="2">
        <f t="shared" si="9"/>
        <v>0.19314285714285714</v>
      </c>
      <c r="O85" s="8">
        <v>552</v>
      </c>
      <c r="P85" s="8">
        <f t="shared" si="10"/>
        <v>2.741939077729199</v>
      </c>
      <c r="Q85" s="12">
        <v>453</v>
      </c>
      <c r="R85" s="12">
        <f t="shared" si="11"/>
        <v>2.6560982020128319</v>
      </c>
    </row>
    <row r="86" spans="1:18" x14ac:dyDescent="0.25">
      <c r="A86" s="1">
        <f t="shared" si="12"/>
        <v>85</v>
      </c>
      <c r="B86" s="1">
        <f t="shared" si="13"/>
        <v>785</v>
      </c>
      <c r="C86" t="s">
        <v>9</v>
      </c>
      <c r="D86" t="s">
        <v>45</v>
      </c>
      <c r="E86" t="s">
        <v>46</v>
      </c>
      <c r="F86" t="s">
        <v>39</v>
      </c>
      <c r="G86">
        <v>17</v>
      </c>
      <c r="H86">
        <v>3</v>
      </c>
      <c r="I86" t="s">
        <v>13</v>
      </c>
      <c r="J86" s="2">
        <v>160</v>
      </c>
      <c r="K86" s="2">
        <v>7.3650000000000002</v>
      </c>
      <c r="L86" s="2">
        <v>0.36399999999999999</v>
      </c>
      <c r="M86" s="2">
        <f t="shared" si="8"/>
        <v>4.6031250000000004</v>
      </c>
      <c r="N86" s="2">
        <f t="shared" si="9"/>
        <v>0.22750000000000001</v>
      </c>
      <c r="O86" s="8">
        <v>80800</v>
      </c>
      <c r="P86" s="8">
        <f t="shared" si="10"/>
        <v>4.907411360774586</v>
      </c>
      <c r="Q86" s="12">
        <v>448</v>
      </c>
      <c r="R86" s="12">
        <f t="shared" si="11"/>
        <v>2.651278013998144</v>
      </c>
    </row>
    <row r="87" spans="1:18" x14ac:dyDescent="0.25">
      <c r="A87" s="1">
        <f t="shared" si="12"/>
        <v>86</v>
      </c>
      <c r="B87" s="1">
        <f t="shared" si="13"/>
        <v>786</v>
      </c>
      <c r="C87" t="s">
        <v>9</v>
      </c>
      <c r="D87" t="s">
        <v>45</v>
      </c>
      <c r="E87" t="s">
        <v>46</v>
      </c>
      <c r="F87" t="s">
        <v>39</v>
      </c>
      <c r="G87">
        <v>19</v>
      </c>
      <c r="H87">
        <v>5</v>
      </c>
      <c r="I87" t="s">
        <v>12</v>
      </c>
      <c r="J87" s="2">
        <v>195</v>
      </c>
      <c r="K87" s="2">
        <v>6.39</v>
      </c>
      <c r="L87" s="2">
        <v>0.38800000000000001</v>
      </c>
      <c r="M87" s="2">
        <f t="shared" si="8"/>
        <v>3.2769230769230764</v>
      </c>
      <c r="N87" s="2">
        <f t="shared" si="9"/>
        <v>0.198974358974359</v>
      </c>
      <c r="O87" s="8">
        <v>38850</v>
      </c>
      <c r="P87" s="8">
        <f t="shared" si="10"/>
        <v>4.5893910231369333</v>
      </c>
      <c r="Q87" s="12">
        <v>7030</v>
      </c>
      <c r="R87" s="12">
        <f t="shared" si="11"/>
        <v>3.8469553250198238</v>
      </c>
    </row>
    <row r="88" spans="1:18" x14ac:dyDescent="0.25">
      <c r="A88" s="1">
        <f t="shared" si="12"/>
        <v>87</v>
      </c>
      <c r="B88" s="1">
        <f t="shared" si="13"/>
        <v>787</v>
      </c>
      <c r="C88" t="s">
        <v>9</v>
      </c>
      <c r="D88" t="s">
        <v>45</v>
      </c>
      <c r="E88" t="s">
        <v>46</v>
      </c>
      <c r="F88" t="s">
        <v>39</v>
      </c>
      <c r="G88">
        <v>19</v>
      </c>
      <c r="H88">
        <v>5</v>
      </c>
      <c r="I88" t="s">
        <v>12</v>
      </c>
      <c r="J88" s="2">
        <v>225</v>
      </c>
      <c r="K88" s="2">
        <v>7.9989999999999997</v>
      </c>
      <c r="L88" s="2">
        <v>0.75900000000000001</v>
      </c>
      <c r="M88" s="2">
        <f t="shared" si="8"/>
        <v>3.5551111111111111</v>
      </c>
      <c r="N88" s="2">
        <f t="shared" si="9"/>
        <v>0.33733333333333332</v>
      </c>
      <c r="O88" s="8">
        <v>137500</v>
      </c>
      <c r="P88" s="8">
        <f t="shared" si="10"/>
        <v>5.1383026981662816</v>
      </c>
      <c r="Q88" s="12">
        <v>10360</v>
      </c>
      <c r="R88" s="12">
        <f t="shared" si="11"/>
        <v>4.0153597554092144</v>
      </c>
    </row>
    <row r="89" spans="1:18" x14ac:dyDescent="0.25">
      <c r="A89" s="1">
        <f t="shared" si="12"/>
        <v>88</v>
      </c>
      <c r="B89" s="1">
        <f t="shared" si="13"/>
        <v>788</v>
      </c>
      <c r="C89" t="s">
        <v>9</v>
      </c>
      <c r="D89" t="s">
        <v>45</v>
      </c>
      <c r="E89" t="s">
        <v>46</v>
      </c>
      <c r="F89" t="s">
        <v>39</v>
      </c>
      <c r="G89">
        <v>19</v>
      </c>
      <c r="H89">
        <v>5</v>
      </c>
      <c r="I89" t="s">
        <v>13</v>
      </c>
      <c r="J89" s="2">
        <v>170</v>
      </c>
      <c r="K89" s="2">
        <v>6.6820000000000004</v>
      </c>
      <c r="L89" s="2">
        <v>0.30099999999999999</v>
      </c>
      <c r="M89" s="2">
        <f t="shared" si="8"/>
        <v>3.9305882352941177</v>
      </c>
      <c r="N89" s="2">
        <f t="shared" si="9"/>
        <v>0.17705882352941177</v>
      </c>
      <c r="O89" s="8">
        <v>2320000</v>
      </c>
      <c r="P89" s="8">
        <f t="shared" si="10"/>
        <v>6.3654879848908994</v>
      </c>
      <c r="Q89" s="12">
        <v>73600</v>
      </c>
      <c r="R89" s="12">
        <f t="shared" si="11"/>
        <v>4.8668778143374984</v>
      </c>
    </row>
    <row r="90" spans="1:18" x14ac:dyDescent="0.25">
      <c r="A90" s="1">
        <f t="shared" si="12"/>
        <v>89</v>
      </c>
      <c r="B90" s="1">
        <f t="shared" si="13"/>
        <v>789</v>
      </c>
      <c r="C90" t="s">
        <v>9</v>
      </c>
      <c r="D90" t="s">
        <v>45</v>
      </c>
      <c r="E90" t="s">
        <v>46</v>
      </c>
      <c r="F90" t="s">
        <v>39</v>
      </c>
      <c r="G90">
        <v>19</v>
      </c>
      <c r="H90">
        <v>5</v>
      </c>
      <c r="I90" t="s">
        <v>12</v>
      </c>
      <c r="J90" s="2">
        <v>165</v>
      </c>
      <c r="K90" s="2">
        <v>5.7759999999999998</v>
      </c>
      <c r="L90" s="2">
        <v>0.36399999999999999</v>
      </c>
      <c r="M90" s="2">
        <f t="shared" si="8"/>
        <v>3.5006060606060605</v>
      </c>
      <c r="N90" s="2">
        <f t="shared" si="9"/>
        <v>0.22060606060606058</v>
      </c>
      <c r="O90" s="8">
        <v>569000</v>
      </c>
      <c r="P90" s="8">
        <f t="shared" si="10"/>
        <v>5.7551122663950709</v>
      </c>
      <c r="Q90" s="12">
        <v>49</v>
      </c>
      <c r="R90" s="12">
        <f t="shared" si="11"/>
        <v>1.6901960800285136</v>
      </c>
    </row>
    <row r="91" spans="1:18" x14ac:dyDescent="0.25">
      <c r="A91" s="1">
        <f t="shared" si="12"/>
        <v>90</v>
      </c>
      <c r="B91" s="1">
        <f t="shared" si="13"/>
        <v>790</v>
      </c>
      <c r="C91" t="s">
        <v>9</v>
      </c>
      <c r="D91" t="s">
        <v>45</v>
      </c>
      <c r="E91" t="s">
        <v>46</v>
      </c>
      <c r="F91" t="s">
        <v>39</v>
      </c>
      <c r="G91">
        <v>19</v>
      </c>
      <c r="H91">
        <v>5</v>
      </c>
      <c r="I91" t="s">
        <v>12</v>
      </c>
      <c r="J91" s="2">
        <v>200</v>
      </c>
      <c r="K91" s="2">
        <v>7.1529999999999996</v>
      </c>
      <c r="L91" s="2">
        <v>0.45900000000000002</v>
      </c>
      <c r="M91" s="2">
        <f t="shared" si="8"/>
        <v>3.5764999999999998</v>
      </c>
      <c r="N91" s="2">
        <f t="shared" si="9"/>
        <v>0.22950000000000001</v>
      </c>
      <c r="O91" s="8">
        <v>977</v>
      </c>
      <c r="P91" s="8">
        <f t="shared" si="10"/>
        <v>2.989894563718773</v>
      </c>
      <c r="Q91" s="12">
        <v>6095</v>
      </c>
      <c r="R91" s="12">
        <f t="shared" si="11"/>
        <v>3.7849737099544005</v>
      </c>
    </row>
    <row r="92" spans="1:18" x14ac:dyDescent="0.25">
      <c r="A92" s="1">
        <f t="shared" si="12"/>
        <v>91</v>
      </c>
      <c r="B92" s="1">
        <f t="shared" si="13"/>
        <v>791</v>
      </c>
      <c r="C92" t="s">
        <v>9</v>
      </c>
      <c r="D92" t="s">
        <v>45</v>
      </c>
      <c r="E92" t="s">
        <v>46</v>
      </c>
      <c r="F92" t="s">
        <v>39</v>
      </c>
      <c r="G92">
        <v>21</v>
      </c>
      <c r="H92">
        <v>7</v>
      </c>
      <c r="I92" t="s">
        <v>12</v>
      </c>
      <c r="J92" s="2">
        <v>230</v>
      </c>
      <c r="K92" s="2">
        <v>7.2750000000000004</v>
      </c>
      <c r="L92" s="2">
        <v>0.46</v>
      </c>
      <c r="M92" s="2">
        <f t="shared" si="8"/>
        <v>3.1630434782608701</v>
      </c>
      <c r="N92" s="2">
        <f t="shared" si="9"/>
        <v>0.2</v>
      </c>
      <c r="O92" s="8">
        <v>249.5</v>
      </c>
      <c r="P92" s="8">
        <f t="shared" si="10"/>
        <v>2.3970705499594089</v>
      </c>
      <c r="Q92" s="12">
        <v>367</v>
      </c>
      <c r="R92" s="12">
        <f t="shared" si="11"/>
        <v>2.5646660642520893</v>
      </c>
    </row>
    <row r="93" spans="1:18" x14ac:dyDescent="0.25">
      <c r="A93" s="1">
        <f t="shared" si="12"/>
        <v>92</v>
      </c>
      <c r="B93" s="1">
        <f t="shared" si="13"/>
        <v>792</v>
      </c>
      <c r="C93" t="s">
        <v>9</v>
      </c>
      <c r="D93" t="s">
        <v>45</v>
      </c>
      <c r="E93" t="s">
        <v>46</v>
      </c>
      <c r="F93" t="s">
        <v>39</v>
      </c>
      <c r="G93">
        <v>21</v>
      </c>
      <c r="H93">
        <v>7</v>
      </c>
      <c r="I93" t="s">
        <v>13</v>
      </c>
      <c r="J93" s="2">
        <v>255</v>
      </c>
      <c r="K93" s="2">
        <v>8.5169999999999995</v>
      </c>
      <c r="L93" s="2">
        <v>0.53</v>
      </c>
      <c r="M93" s="2">
        <f t="shared" si="8"/>
        <v>3.34</v>
      </c>
      <c r="N93" s="2">
        <f t="shared" si="9"/>
        <v>0.20784313725490197</v>
      </c>
      <c r="O93" s="8">
        <v>3375</v>
      </c>
      <c r="P93" s="8">
        <f t="shared" si="10"/>
        <v>3.5282737771670436</v>
      </c>
      <c r="Q93" s="12">
        <v>7590</v>
      </c>
      <c r="R93" s="12">
        <f t="shared" si="11"/>
        <v>3.8802417758954801</v>
      </c>
    </row>
    <row r="94" spans="1:18" x14ac:dyDescent="0.25">
      <c r="A94" s="1">
        <f t="shared" si="12"/>
        <v>93</v>
      </c>
      <c r="B94" s="1">
        <f t="shared" si="13"/>
        <v>793</v>
      </c>
      <c r="C94" t="s">
        <v>9</v>
      </c>
      <c r="D94" t="s">
        <v>45</v>
      </c>
      <c r="E94" t="s">
        <v>46</v>
      </c>
      <c r="F94" t="s">
        <v>39</v>
      </c>
      <c r="G94">
        <v>21</v>
      </c>
      <c r="H94">
        <v>7</v>
      </c>
      <c r="I94" t="s">
        <v>12</v>
      </c>
      <c r="J94" s="2">
        <v>200</v>
      </c>
      <c r="K94" s="2">
        <v>7.5209999999999999</v>
      </c>
      <c r="L94" s="2">
        <v>0.32600000000000001</v>
      </c>
      <c r="M94" s="2">
        <f t="shared" si="8"/>
        <v>3.7605</v>
      </c>
      <c r="N94" s="2">
        <f t="shared" si="9"/>
        <v>0.16300000000000001</v>
      </c>
      <c r="O94" s="8">
        <v>65.099999999999994</v>
      </c>
      <c r="P94" s="8">
        <f t="shared" si="10"/>
        <v>1.8135809885681919</v>
      </c>
      <c r="Q94" s="12">
        <v>2315</v>
      </c>
      <c r="R94" s="12">
        <f t="shared" si="11"/>
        <v>3.3645509953539721</v>
      </c>
    </row>
    <row r="95" spans="1:18" x14ac:dyDescent="0.25">
      <c r="A95" s="1">
        <f t="shared" si="12"/>
        <v>94</v>
      </c>
      <c r="B95" s="1">
        <f t="shared" si="13"/>
        <v>794</v>
      </c>
      <c r="C95" t="s">
        <v>9</v>
      </c>
      <c r="D95" t="s">
        <v>45</v>
      </c>
      <c r="E95" t="s">
        <v>46</v>
      </c>
      <c r="F95" t="s">
        <v>39</v>
      </c>
      <c r="G95">
        <v>21</v>
      </c>
      <c r="H95">
        <v>7</v>
      </c>
      <c r="I95" t="s">
        <v>12</v>
      </c>
      <c r="J95" s="2">
        <v>210</v>
      </c>
      <c r="K95" s="2">
        <v>5.9619999999999997</v>
      </c>
      <c r="L95" s="2">
        <v>0.39200000000000002</v>
      </c>
      <c r="M95" s="2">
        <f t="shared" si="8"/>
        <v>2.8390476190476188</v>
      </c>
      <c r="N95" s="2">
        <f t="shared" si="9"/>
        <v>0.18666666666666668</v>
      </c>
      <c r="O95" s="8">
        <v>128.85</v>
      </c>
      <c r="P95" s="8">
        <f t="shared" si="10"/>
        <v>2.1100844228869233</v>
      </c>
      <c r="Q95" s="12">
        <v>2300</v>
      </c>
      <c r="R95" s="12">
        <f t="shared" si="11"/>
        <v>3.3617278360175931</v>
      </c>
    </row>
    <row r="96" spans="1:18" x14ac:dyDescent="0.25">
      <c r="A96" s="1">
        <f t="shared" si="12"/>
        <v>95</v>
      </c>
      <c r="B96" s="1">
        <f t="shared" si="13"/>
        <v>795</v>
      </c>
      <c r="C96" t="s">
        <v>9</v>
      </c>
      <c r="D96" t="s">
        <v>45</v>
      </c>
      <c r="E96" t="s">
        <v>46</v>
      </c>
      <c r="F96" t="s">
        <v>39</v>
      </c>
      <c r="G96">
        <v>21</v>
      </c>
      <c r="H96">
        <v>7</v>
      </c>
      <c r="I96" t="s">
        <v>13</v>
      </c>
      <c r="J96" s="2">
        <v>195</v>
      </c>
      <c r="K96" s="2">
        <v>7.3259999999999996</v>
      </c>
      <c r="L96" s="2">
        <v>0.35399999999999998</v>
      </c>
      <c r="M96" s="2">
        <f t="shared" si="8"/>
        <v>3.7569230769230764</v>
      </c>
      <c r="N96" s="2">
        <f t="shared" si="9"/>
        <v>0.18153846153846151</v>
      </c>
      <c r="O96" s="8">
        <v>12400</v>
      </c>
      <c r="P96" s="8">
        <f t="shared" si="10"/>
        <v>4.0934216851622347</v>
      </c>
      <c r="Q96" s="12">
        <v>182</v>
      </c>
      <c r="R96" s="12">
        <f t="shared" si="11"/>
        <v>2.2600713879850747</v>
      </c>
    </row>
    <row r="97" spans="1:18" x14ac:dyDescent="0.25">
      <c r="A97" s="1">
        <f t="shared" si="12"/>
        <v>96</v>
      </c>
      <c r="B97" s="1">
        <f t="shared" si="13"/>
        <v>796</v>
      </c>
      <c r="C97" t="s">
        <v>9</v>
      </c>
      <c r="D97" t="s">
        <v>45</v>
      </c>
      <c r="E97" t="s">
        <v>46</v>
      </c>
      <c r="F97" t="s">
        <v>39</v>
      </c>
      <c r="G97">
        <v>28</v>
      </c>
      <c r="H97">
        <v>14</v>
      </c>
      <c r="I97" t="s">
        <v>13</v>
      </c>
      <c r="J97" s="2">
        <v>345</v>
      </c>
      <c r="K97" s="2">
        <v>10.794</v>
      </c>
      <c r="L97" s="2">
        <v>0.63200000000000001</v>
      </c>
      <c r="M97" s="2">
        <f t="shared" si="8"/>
        <v>3.1286956521739127</v>
      </c>
      <c r="N97" s="2">
        <f t="shared" si="9"/>
        <v>0.18318840579710144</v>
      </c>
      <c r="O97" s="8">
        <v>72.5</v>
      </c>
      <c r="P97" s="8">
        <f t="shared" si="10"/>
        <v>1.8603380065709938</v>
      </c>
      <c r="Q97" s="12">
        <v>31.05</v>
      </c>
      <c r="R97" s="12">
        <f t="shared" si="11"/>
        <v>1.4920616045125989</v>
      </c>
    </row>
    <row r="98" spans="1:18" x14ac:dyDescent="0.25">
      <c r="A98" s="1">
        <f t="shared" si="12"/>
        <v>97</v>
      </c>
      <c r="B98" s="1">
        <f t="shared" si="13"/>
        <v>797</v>
      </c>
      <c r="C98" t="s">
        <v>9</v>
      </c>
      <c r="D98" t="s">
        <v>45</v>
      </c>
      <c r="E98" t="s">
        <v>46</v>
      </c>
      <c r="F98" t="s">
        <v>39</v>
      </c>
      <c r="G98">
        <v>28</v>
      </c>
      <c r="H98">
        <v>14</v>
      </c>
      <c r="I98" t="s">
        <v>12</v>
      </c>
      <c r="J98" s="2">
        <v>305</v>
      </c>
      <c r="K98" s="2">
        <v>9.5250000000000004</v>
      </c>
      <c r="L98" s="2">
        <v>0.621</v>
      </c>
      <c r="M98" s="2">
        <f t="shared" si="8"/>
        <v>3.1229508196721314</v>
      </c>
      <c r="N98" s="2">
        <f t="shared" si="9"/>
        <v>0.20360655737704916</v>
      </c>
      <c r="O98" s="8">
        <v>1</v>
      </c>
      <c r="P98" s="8">
        <f t="shared" si="10"/>
        <v>0</v>
      </c>
      <c r="Q98" s="8">
        <v>1</v>
      </c>
      <c r="R98" s="12">
        <f t="shared" si="11"/>
        <v>0</v>
      </c>
    </row>
    <row r="99" spans="1:18" x14ac:dyDescent="0.25">
      <c r="A99" s="1">
        <f t="shared" si="12"/>
        <v>98</v>
      </c>
      <c r="B99" s="1">
        <f t="shared" si="13"/>
        <v>798</v>
      </c>
      <c r="C99" t="s">
        <v>9</v>
      </c>
      <c r="D99" t="s">
        <v>45</v>
      </c>
      <c r="E99" t="s">
        <v>46</v>
      </c>
      <c r="F99" t="s">
        <v>39</v>
      </c>
      <c r="G99">
        <v>28</v>
      </c>
      <c r="H99">
        <v>14</v>
      </c>
      <c r="I99" t="s">
        <v>12</v>
      </c>
      <c r="J99" s="2">
        <v>225</v>
      </c>
      <c r="K99" s="2">
        <v>6.98</v>
      </c>
      <c r="L99" s="2">
        <v>0.39500000000000002</v>
      </c>
      <c r="M99" s="2">
        <f t="shared" si="8"/>
        <v>3.1022222222222227</v>
      </c>
      <c r="N99" s="2">
        <f t="shared" si="9"/>
        <v>0.17555555555555555</v>
      </c>
      <c r="O99" s="8">
        <v>1</v>
      </c>
      <c r="P99" s="8">
        <f t="shared" si="10"/>
        <v>0</v>
      </c>
      <c r="Q99" s="8">
        <v>1</v>
      </c>
      <c r="R99" s="12">
        <f t="shared" si="11"/>
        <v>0</v>
      </c>
    </row>
    <row r="100" spans="1:18" s="5" customFormat="1" x14ac:dyDescent="0.25">
      <c r="A100" s="1">
        <v>101</v>
      </c>
      <c r="B100" s="1" t="s">
        <v>35</v>
      </c>
      <c r="C100" t="s">
        <v>10</v>
      </c>
      <c r="D100" t="s">
        <v>45</v>
      </c>
      <c r="E100" t="s">
        <v>47</v>
      </c>
      <c r="F100" t="s">
        <v>39</v>
      </c>
      <c r="G100">
        <v>14</v>
      </c>
      <c r="H100">
        <v>0</v>
      </c>
      <c r="I100" t="s">
        <v>13</v>
      </c>
      <c r="J100" s="2">
        <v>135</v>
      </c>
      <c r="K100" s="2">
        <v>6.6139999999999999</v>
      </c>
      <c r="L100" s="2">
        <v>0.186</v>
      </c>
      <c r="M100" s="2">
        <f t="shared" ref="M100:M122" si="14">(K100/J100)*100</f>
        <v>4.8992592592592592</v>
      </c>
      <c r="N100" s="2">
        <f t="shared" ref="N100:N122" si="15">(L100/J100)*100</f>
        <v>0.13777777777777778</v>
      </c>
      <c r="O100" s="8">
        <v>1</v>
      </c>
      <c r="P100" s="8">
        <f t="shared" si="10"/>
        <v>0</v>
      </c>
      <c r="Q100" s="8">
        <v>1</v>
      </c>
      <c r="R100" s="12">
        <f t="shared" si="11"/>
        <v>0</v>
      </c>
    </row>
    <row r="101" spans="1:18" s="5" customFormat="1" x14ac:dyDescent="0.25">
      <c r="A101" s="1">
        <f t="shared" ref="A101:A109" si="16">A100+1</f>
        <v>102</v>
      </c>
      <c r="B101" s="1">
        <f t="shared" ref="B101:B109" si="17">B100+1</f>
        <v>802</v>
      </c>
      <c r="C101" t="s">
        <v>10</v>
      </c>
      <c r="D101" t="s">
        <v>45</v>
      </c>
      <c r="E101" t="s">
        <v>47</v>
      </c>
      <c r="F101" t="s">
        <v>39</v>
      </c>
      <c r="G101">
        <v>14</v>
      </c>
      <c r="H101">
        <v>0</v>
      </c>
      <c r="I101" t="s">
        <v>12</v>
      </c>
      <c r="J101" s="2">
        <v>125</v>
      </c>
      <c r="K101" s="2">
        <v>4.7960000000000003</v>
      </c>
      <c r="L101" s="2">
        <v>0.19900000000000001</v>
      </c>
      <c r="M101" s="2">
        <f t="shared" si="14"/>
        <v>3.8367999999999998</v>
      </c>
      <c r="N101" s="2">
        <f t="shared" si="15"/>
        <v>0.15920000000000001</v>
      </c>
      <c r="O101" s="8">
        <v>1</v>
      </c>
      <c r="P101" s="8">
        <f t="shared" si="10"/>
        <v>0</v>
      </c>
      <c r="Q101" s="8">
        <v>1</v>
      </c>
      <c r="R101" s="12">
        <f t="shared" si="11"/>
        <v>0</v>
      </c>
    </row>
    <row r="102" spans="1:18" x14ac:dyDescent="0.25">
      <c r="A102" s="1">
        <f t="shared" si="16"/>
        <v>103</v>
      </c>
      <c r="B102" s="1">
        <f t="shared" si="17"/>
        <v>803</v>
      </c>
      <c r="C102" t="s">
        <v>10</v>
      </c>
      <c r="D102" t="s">
        <v>45</v>
      </c>
      <c r="E102" t="s">
        <v>47</v>
      </c>
      <c r="F102" t="s">
        <v>39</v>
      </c>
      <c r="G102">
        <v>14</v>
      </c>
      <c r="H102">
        <v>0</v>
      </c>
      <c r="I102" t="s">
        <v>13</v>
      </c>
      <c r="J102" s="2">
        <v>155</v>
      </c>
      <c r="K102" s="2">
        <v>6.5590000000000002</v>
      </c>
      <c r="L102" s="2">
        <v>0.16600000000000001</v>
      </c>
      <c r="M102" s="2">
        <f t="shared" si="14"/>
        <v>4.2316129032258063</v>
      </c>
      <c r="N102" s="2">
        <f t="shared" si="15"/>
        <v>0.10709677419354839</v>
      </c>
      <c r="O102" s="8">
        <v>1</v>
      </c>
      <c r="P102" s="8">
        <f t="shared" si="10"/>
        <v>0</v>
      </c>
      <c r="Q102" s="8">
        <v>1</v>
      </c>
      <c r="R102" s="12">
        <f t="shared" si="11"/>
        <v>0</v>
      </c>
    </row>
    <row r="103" spans="1:18" x14ac:dyDescent="0.25">
      <c r="A103" s="1">
        <f t="shared" si="16"/>
        <v>104</v>
      </c>
      <c r="B103" s="1">
        <f t="shared" si="17"/>
        <v>804</v>
      </c>
      <c r="C103" t="s">
        <v>10</v>
      </c>
      <c r="D103" t="s">
        <v>45</v>
      </c>
      <c r="E103" t="s">
        <v>47</v>
      </c>
      <c r="F103" t="s">
        <v>39</v>
      </c>
      <c r="G103">
        <v>14</v>
      </c>
      <c r="H103">
        <v>0</v>
      </c>
      <c r="I103" t="s">
        <v>12</v>
      </c>
      <c r="J103" s="2">
        <v>125</v>
      </c>
      <c r="K103" s="2">
        <v>5.96</v>
      </c>
      <c r="L103" s="2">
        <v>0.21</v>
      </c>
      <c r="M103" s="2">
        <f t="shared" si="14"/>
        <v>4.7679999999999998</v>
      </c>
      <c r="N103" s="2">
        <f t="shared" si="15"/>
        <v>0.16799999999999998</v>
      </c>
      <c r="O103" s="8">
        <v>1</v>
      </c>
      <c r="P103" s="8">
        <f t="shared" si="10"/>
        <v>0</v>
      </c>
      <c r="Q103" s="8">
        <v>1</v>
      </c>
      <c r="R103" s="12">
        <f t="shared" si="11"/>
        <v>0</v>
      </c>
    </row>
    <row r="104" spans="1:18" x14ac:dyDescent="0.25">
      <c r="A104" s="1">
        <f t="shared" si="16"/>
        <v>105</v>
      </c>
      <c r="B104" s="1">
        <f t="shared" si="17"/>
        <v>805</v>
      </c>
      <c r="C104" t="s">
        <v>10</v>
      </c>
      <c r="D104" t="s">
        <v>45</v>
      </c>
      <c r="E104" t="s">
        <v>47</v>
      </c>
      <c r="F104" t="s">
        <v>39</v>
      </c>
      <c r="G104">
        <v>14</v>
      </c>
      <c r="H104">
        <v>0</v>
      </c>
      <c r="I104" t="s">
        <v>13</v>
      </c>
      <c r="J104" s="2">
        <v>155</v>
      </c>
      <c r="K104" s="2">
        <v>7.4409999999999998</v>
      </c>
      <c r="L104" s="2">
        <v>0.14499999999999999</v>
      </c>
      <c r="M104" s="2">
        <f t="shared" si="14"/>
        <v>4.8006451612903227</v>
      </c>
      <c r="N104" s="2">
        <f t="shared" si="15"/>
        <v>9.3548387096774197E-2</v>
      </c>
      <c r="O104" s="8">
        <v>1</v>
      </c>
      <c r="P104" s="8">
        <f t="shared" si="10"/>
        <v>0</v>
      </c>
      <c r="Q104" s="8">
        <v>1</v>
      </c>
      <c r="R104" s="12">
        <f t="shared" si="11"/>
        <v>0</v>
      </c>
    </row>
    <row r="105" spans="1:18" x14ac:dyDescent="0.25">
      <c r="A105" s="1">
        <f t="shared" si="16"/>
        <v>106</v>
      </c>
      <c r="B105" s="1">
        <f t="shared" si="17"/>
        <v>806</v>
      </c>
      <c r="C105" t="s">
        <v>10</v>
      </c>
      <c r="D105" t="s">
        <v>45</v>
      </c>
      <c r="E105" t="s">
        <v>47</v>
      </c>
      <c r="F105" t="s">
        <v>39</v>
      </c>
      <c r="G105">
        <v>17</v>
      </c>
      <c r="H105">
        <v>3</v>
      </c>
      <c r="I105" t="s">
        <v>12</v>
      </c>
      <c r="J105" s="2">
        <v>160</v>
      </c>
      <c r="K105" s="2">
        <v>5.7939999999999996</v>
      </c>
      <c r="L105" s="2">
        <v>0.221</v>
      </c>
      <c r="M105" s="2">
        <f t="shared" si="14"/>
        <v>3.6212499999999994</v>
      </c>
      <c r="N105" s="2">
        <f t="shared" si="15"/>
        <v>0.138125</v>
      </c>
      <c r="O105" s="8">
        <v>41600</v>
      </c>
      <c r="P105" s="8">
        <f t="shared" si="10"/>
        <v>4.6190933306267423</v>
      </c>
      <c r="Q105" s="12">
        <v>249.8</v>
      </c>
      <c r="R105" s="12">
        <f t="shared" si="11"/>
        <v>2.3975924340381169</v>
      </c>
    </row>
    <row r="106" spans="1:18" x14ac:dyDescent="0.25">
      <c r="A106" s="1">
        <f t="shared" si="16"/>
        <v>107</v>
      </c>
      <c r="B106" s="1">
        <f t="shared" si="17"/>
        <v>807</v>
      </c>
      <c r="C106" t="s">
        <v>10</v>
      </c>
      <c r="D106" t="s">
        <v>45</v>
      </c>
      <c r="E106" t="s">
        <v>47</v>
      </c>
      <c r="F106" t="s">
        <v>39</v>
      </c>
      <c r="G106">
        <v>17</v>
      </c>
      <c r="H106">
        <v>3</v>
      </c>
      <c r="I106" t="s">
        <v>12</v>
      </c>
      <c r="J106" s="2">
        <v>165</v>
      </c>
      <c r="K106" s="2">
        <v>5.3780000000000001</v>
      </c>
      <c r="L106" s="2">
        <v>0.22900000000000001</v>
      </c>
      <c r="M106" s="2">
        <f t="shared" si="14"/>
        <v>3.2593939393939397</v>
      </c>
      <c r="N106" s="2">
        <f t="shared" si="15"/>
        <v>0.13878787878787879</v>
      </c>
      <c r="O106" s="8">
        <v>55350</v>
      </c>
      <c r="P106" s="8">
        <f t="shared" si="10"/>
        <v>4.743117625214742</v>
      </c>
      <c r="Q106" s="12">
        <v>25</v>
      </c>
      <c r="R106" s="12">
        <f t="shared" si="11"/>
        <v>1.3979400086720377</v>
      </c>
    </row>
    <row r="107" spans="1:18" x14ac:dyDescent="0.25">
      <c r="A107" s="1">
        <f t="shared" si="16"/>
        <v>108</v>
      </c>
      <c r="B107" s="1">
        <f t="shared" si="17"/>
        <v>808</v>
      </c>
      <c r="C107" t="s">
        <v>10</v>
      </c>
      <c r="D107" t="s">
        <v>45</v>
      </c>
      <c r="E107" t="s">
        <v>47</v>
      </c>
      <c r="F107" t="s">
        <v>39</v>
      </c>
      <c r="G107">
        <v>17</v>
      </c>
      <c r="H107">
        <v>3</v>
      </c>
      <c r="I107" t="s">
        <v>12</v>
      </c>
      <c r="J107" s="2">
        <v>165</v>
      </c>
      <c r="K107" s="2">
        <v>5.452</v>
      </c>
      <c r="L107" s="2">
        <v>0.25700000000000001</v>
      </c>
      <c r="M107" s="2">
        <f t="shared" si="14"/>
        <v>3.3042424242424242</v>
      </c>
      <c r="N107" s="2">
        <f t="shared" si="15"/>
        <v>0.15575757575757576</v>
      </c>
      <c r="O107" s="8">
        <v>395500</v>
      </c>
      <c r="P107" s="8">
        <f t="shared" si="10"/>
        <v>5.5971464878336956</v>
      </c>
      <c r="Q107" s="12">
        <v>109.35</v>
      </c>
      <c r="R107" s="12">
        <f t="shared" si="11"/>
        <v>2.0388187873736556</v>
      </c>
    </row>
    <row r="108" spans="1:18" x14ac:dyDescent="0.25">
      <c r="A108" s="1">
        <f t="shared" si="16"/>
        <v>109</v>
      </c>
      <c r="B108" s="1">
        <f t="shared" si="17"/>
        <v>809</v>
      </c>
      <c r="C108" t="s">
        <v>10</v>
      </c>
      <c r="D108" t="s">
        <v>45</v>
      </c>
      <c r="E108" t="s">
        <v>47</v>
      </c>
      <c r="F108" t="s">
        <v>39</v>
      </c>
      <c r="G108">
        <v>17</v>
      </c>
      <c r="H108">
        <v>3</v>
      </c>
      <c r="I108" t="s">
        <v>13</v>
      </c>
      <c r="J108" s="2">
        <v>175</v>
      </c>
      <c r="K108" s="2">
        <v>7.1580000000000004</v>
      </c>
      <c r="L108" s="2">
        <v>0.35099999999999998</v>
      </c>
      <c r="M108" s="2">
        <f t="shared" si="14"/>
        <v>4.0902857142857147</v>
      </c>
      <c r="N108" s="2">
        <f t="shared" si="15"/>
        <v>0.20057142857142857</v>
      </c>
      <c r="O108" s="8">
        <v>779500</v>
      </c>
      <c r="P108" s="8">
        <f t="shared" si="10"/>
        <v>5.8918161195248606</v>
      </c>
      <c r="Q108" s="12">
        <v>6215</v>
      </c>
      <c r="R108" s="12">
        <f t="shared" si="11"/>
        <v>3.7934411329776636</v>
      </c>
    </row>
    <row r="109" spans="1:18" x14ac:dyDescent="0.25">
      <c r="A109" s="1">
        <f t="shared" si="16"/>
        <v>110</v>
      </c>
      <c r="B109" s="1">
        <f t="shared" si="17"/>
        <v>810</v>
      </c>
      <c r="C109" t="s">
        <v>10</v>
      </c>
      <c r="D109" t="s">
        <v>45</v>
      </c>
      <c r="E109" t="s">
        <v>47</v>
      </c>
      <c r="F109" t="s">
        <v>39</v>
      </c>
      <c r="G109">
        <v>17</v>
      </c>
      <c r="H109">
        <v>3</v>
      </c>
      <c r="I109" t="s">
        <v>13</v>
      </c>
      <c r="J109" s="2">
        <v>155</v>
      </c>
      <c r="K109" s="2">
        <v>5.3079999999999998</v>
      </c>
      <c r="L109" s="2">
        <v>0.25600000000000001</v>
      </c>
      <c r="M109" s="2">
        <f t="shared" si="14"/>
        <v>3.4245161290322583</v>
      </c>
      <c r="N109" s="2">
        <f t="shared" si="15"/>
        <v>0.16516129032258065</v>
      </c>
      <c r="O109" s="8">
        <v>1</v>
      </c>
      <c r="P109" s="8">
        <f t="shared" si="10"/>
        <v>0</v>
      </c>
      <c r="Q109" s="12">
        <v>29.6</v>
      </c>
      <c r="R109" s="12">
        <f t="shared" si="11"/>
        <v>1.4712917110589385</v>
      </c>
    </row>
    <row r="110" spans="1:18" x14ac:dyDescent="0.25">
      <c r="A110" s="1">
        <f t="shared" ref="A110:A122" si="18">A109+1</f>
        <v>111</v>
      </c>
      <c r="B110" s="1" t="s">
        <v>19</v>
      </c>
      <c r="C110" t="s">
        <v>10</v>
      </c>
      <c r="D110" t="s">
        <v>45</v>
      </c>
      <c r="E110" t="s">
        <v>47</v>
      </c>
      <c r="F110" t="s">
        <v>39</v>
      </c>
      <c r="G110">
        <v>19</v>
      </c>
      <c r="H110">
        <v>5</v>
      </c>
      <c r="I110" t="s">
        <v>13</v>
      </c>
      <c r="J110" s="2">
        <v>185</v>
      </c>
      <c r="K110" s="2">
        <v>7.1459999999999999</v>
      </c>
      <c r="L110" s="2">
        <v>0.47399999999999998</v>
      </c>
      <c r="M110" s="2">
        <f t="shared" si="14"/>
        <v>3.8627027027027028</v>
      </c>
      <c r="N110" s="2">
        <f t="shared" si="15"/>
        <v>0.25621621621621621</v>
      </c>
      <c r="O110" s="8">
        <v>10260</v>
      </c>
      <c r="P110" s="8">
        <f t="shared" si="10"/>
        <v>4.011147360775797</v>
      </c>
      <c r="Q110" s="12">
        <v>1388.5</v>
      </c>
      <c r="R110" s="12">
        <f t="shared" si="11"/>
        <v>3.1425458840862763</v>
      </c>
    </row>
    <row r="111" spans="1:18" x14ac:dyDescent="0.25">
      <c r="A111" s="1">
        <f t="shared" si="18"/>
        <v>112</v>
      </c>
      <c r="B111" s="1" t="s">
        <v>18</v>
      </c>
      <c r="C111" t="s">
        <v>10</v>
      </c>
      <c r="D111" t="s">
        <v>45</v>
      </c>
      <c r="E111" t="s">
        <v>47</v>
      </c>
      <c r="F111" t="s">
        <v>39</v>
      </c>
      <c r="G111">
        <v>19</v>
      </c>
      <c r="H111">
        <v>5</v>
      </c>
      <c r="I111" t="s">
        <v>13</v>
      </c>
      <c r="J111" s="2">
        <v>165</v>
      </c>
      <c r="K111" s="2">
        <v>5.6050000000000004</v>
      </c>
      <c r="L111" s="2">
        <v>0.223</v>
      </c>
      <c r="M111" s="2">
        <f t="shared" si="14"/>
        <v>3.396969696969697</v>
      </c>
      <c r="N111" s="2">
        <f t="shared" si="15"/>
        <v>0.13515151515151516</v>
      </c>
      <c r="O111" s="8">
        <v>941000</v>
      </c>
      <c r="P111" s="8">
        <f t="shared" si="10"/>
        <v>5.973589623427257</v>
      </c>
      <c r="Q111" s="12">
        <v>3320</v>
      </c>
      <c r="R111" s="12">
        <f t="shared" si="11"/>
        <v>3.5211380837040362</v>
      </c>
    </row>
    <row r="112" spans="1:18" x14ac:dyDescent="0.25">
      <c r="A112" s="1">
        <f t="shared" si="18"/>
        <v>113</v>
      </c>
      <c r="B112" s="1" t="s">
        <v>20</v>
      </c>
      <c r="C112" t="s">
        <v>10</v>
      </c>
      <c r="D112" t="s">
        <v>45</v>
      </c>
      <c r="E112" t="s">
        <v>47</v>
      </c>
      <c r="F112" t="s">
        <v>39</v>
      </c>
      <c r="G112">
        <v>19</v>
      </c>
      <c r="H112">
        <v>5</v>
      </c>
      <c r="I112" t="s">
        <v>13</v>
      </c>
      <c r="J112" s="2">
        <v>205</v>
      </c>
      <c r="K112" s="2">
        <v>7.3789999999999996</v>
      </c>
      <c r="L112" s="2">
        <v>0.41099999999999998</v>
      </c>
      <c r="M112" s="2">
        <f t="shared" si="14"/>
        <v>3.5995121951219513</v>
      </c>
      <c r="N112" s="2">
        <f t="shared" si="15"/>
        <v>0.20048780487804876</v>
      </c>
      <c r="O112" s="8">
        <v>36.549999999999997</v>
      </c>
      <c r="P112" s="8">
        <f t="shared" si="10"/>
        <v>1.5628873812938793</v>
      </c>
      <c r="Q112" s="12">
        <v>4.58</v>
      </c>
      <c r="R112" s="12">
        <f t="shared" si="11"/>
        <v>0.66086547800386919</v>
      </c>
    </row>
    <row r="113" spans="1:18" x14ac:dyDescent="0.25">
      <c r="A113" s="1">
        <f t="shared" si="18"/>
        <v>114</v>
      </c>
      <c r="B113" s="1">
        <f>B112+1</f>
        <v>820</v>
      </c>
      <c r="C113" t="s">
        <v>10</v>
      </c>
      <c r="D113" t="s">
        <v>45</v>
      </c>
      <c r="E113" t="s">
        <v>47</v>
      </c>
      <c r="F113" t="s">
        <v>39</v>
      </c>
      <c r="G113">
        <v>19</v>
      </c>
      <c r="H113">
        <v>5</v>
      </c>
      <c r="I113" t="s">
        <v>12</v>
      </c>
      <c r="J113" s="2">
        <v>205</v>
      </c>
      <c r="K113" s="2">
        <v>7.8079999999999998</v>
      </c>
      <c r="L113" s="2">
        <v>0.46800000000000003</v>
      </c>
      <c r="M113" s="2">
        <f t="shared" si="14"/>
        <v>3.8087804878048783</v>
      </c>
      <c r="N113" s="2">
        <f t="shared" si="15"/>
        <v>0.22829268292682928</v>
      </c>
      <c r="O113" s="8">
        <v>48.6</v>
      </c>
      <c r="P113" s="8">
        <f t="shared" si="10"/>
        <v>1.6866362692622934</v>
      </c>
      <c r="Q113" s="12">
        <v>19700</v>
      </c>
      <c r="R113" s="12">
        <f t="shared" si="11"/>
        <v>4.2944662261615933</v>
      </c>
    </row>
    <row r="114" spans="1:18" x14ac:dyDescent="0.25">
      <c r="A114" s="1">
        <f t="shared" si="18"/>
        <v>115</v>
      </c>
      <c r="B114" s="1" t="s">
        <v>22</v>
      </c>
      <c r="C114" t="s">
        <v>10</v>
      </c>
      <c r="D114" t="s">
        <v>45</v>
      </c>
      <c r="E114" t="s">
        <v>47</v>
      </c>
      <c r="F114" t="s">
        <v>39</v>
      </c>
      <c r="G114">
        <v>19</v>
      </c>
      <c r="H114">
        <v>5</v>
      </c>
      <c r="I114" t="s">
        <v>13</v>
      </c>
      <c r="J114" s="2">
        <v>205</v>
      </c>
      <c r="K114" s="2">
        <v>7.9640000000000004</v>
      </c>
      <c r="L114" s="2">
        <v>0.36199999999999999</v>
      </c>
      <c r="M114" s="2">
        <f t="shared" si="14"/>
        <v>3.8848780487804877</v>
      </c>
      <c r="N114" s="2">
        <f t="shared" si="15"/>
        <v>0.17658536585365853</v>
      </c>
      <c r="O114" s="8">
        <v>435.5</v>
      </c>
      <c r="P114" s="8">
        <f t="shared" si="10"/>
        <v>2.6389881593436821</v>
      </c>
      <c r="Q114" s="12">
        <v>2830</v>
      </c>
      <c r="R114" s="12">
        <f t="shared" si="11"/>
        <v>3.4517864355242902</v>
      </c>
    </row>
    <row r="115" spans="1:18" x14ac:dyDescent="0.25">
      <c r="A115" s="1">
        <f t="shared" si="18"/>
        <v>116</v>
      </c>
      <c r="B115" s="1" t="s">
        <v>21</v>
      </c>
      <c r="C115" t="s">
        <v>10</v>
      </c>
      <c r="D115" t="s">
        <v>45</v>
      </c>
      <c r="E115" t="s">
        <v>47</v>
      </c>
      <c r="F115" t="s">
        <v>39</v>
      </c>
      <c r="G115">
        <v>21</v>
      </c>
      <c r="H115">
        <v>7</v>
      </c>
      <c r="I115" t="s">
        <v>12</v>
      </c>
      <c r="J115" s="2">
        <v>220</v>
      </c>
      <c r="K115" s="2">
        <v>7.117</v>
      </c>
      <c r="L115" s="2">
        <v>0.54400000000000004</v>
      </c>
      <c r="M115" s="2">
        <f t="shared" si="14"/>
        <v>3.2349999999999999</v>
      </c>
      <c r="N115" s="2">
        <f t="shared" si="15"/>
        <v>0.24727272727272728</v>
      </c>
      <c r="O115" s="8">
        <v>94.45</v>
      </c>
      <c r="P115" s="8">
        <f t="shared" si="10"/>
        <v>1.9752019622578525</v>
      </c>
      <c r="Q115" s="12">
        <v>2425</v>
      </c>
      <c r="R115" s="12">
        <f t="shared" si="11"/>
        <v>3.3847117429382823</v>
      </c>
    </row>
    <row r="116" spans="1:18" x14ac:dyDescent="0.25">
      <c r="A116" s="1">
        <f t="shared" si="18"/>
        <v>117</v>
      </c>
      <c r="B116" s="1">
        <f>B115+1</f>
        <v>817</v>
      </c>
      <c r="C116" t="s">
        <v>10</v>
      </c>
      <c r="D116" t="s">
        <v>45</v>
      </c>
      <c r="E116" t="s">
        <v>47</v>
      </c>
      <c r="F116" t="s">
        <v>39</v>
      </c>
      <c r="G116">
        <v>21</v>
      </c>
      <c r="H116">
        <v>7</v>
      </c>
      <c r="I116" t="s">
        <v>12</v>
      </c>
      <c r="J116" s="2">
        <v>205</v>
      </c>
      <c r="K116" s="2">
        <v>7.0510000000000002</v>
      </c>
      <c r="L116" s="2">
        <v>0.47599999999999998</v>
      </c>
      <c r="M116" s="2">
        <f t="shared" si="14"/>
        <v>3.4395121951219512</v>
      </c>
      <c r="N116" s="2">
        <f t="shared" si="15"/>
        <v>0.2321951219512195</v>
      </c>
      <c r="O116" s="8">
        <v>49.35</v>
      </c>
      <c r="P116" s="8">
        <f t="shared" si="10"/>
        <v>1.6932871570056556</v>
      </c>
      <c r="Q116" s="12">
        <v>938</v>
      </c>
      <c r="R116" s="12">
        <f t="shared" si="11"/>
        <v>2.9722028383790646</v>
      </c>
    </row>
    <row r="117" spans="1:18" x14ac:dyDescent="0.25">
      <c r="A117" s="1">
        <f t="shared" si="18"/>
        <v>118</v>
      </c>
      <c r="B117" s="1">
        <f>B116+1</f>
        <v>818</v>
      </c>
      <c r="C117" t="s">
        <v>10</v>
      </c>
      <c r="D117" t="s">
        <v>45</v>
      </c>
      <c r="E117" t="s">
        <v>47</v>
      </c>
      <c r="F117" t="s">
        <v>39</v>
      </c>
      <c r="G117">
        <v>21</v>
      </c>
      <c r="H117">
        <v>7</v>
      </c>
      <c r="I117" t="s">
        <v>12</v>
      </c>
      <c r="J117" s="2">
        <v>180</v>
      </c>
      <c r="K117" s="2">
        <v>7.68</v>
      </c>
      <c r="L117" s="2">
        <v>0.32600000000000001</v>
      </c>
      <c r="M117" s="2">
        <f t="shared" si="14"/>
        <v>4.2666666666666666</v>
      </c>
      <c r="N117" s="2">
        <f t="shared" si="15"/>
        <v>0.18111111111111111</v>
      </c>
      <c r="O117" s="8">
        <v>1</v>
      </c>
      <c r="P117" s="8">
        <f t="shared" si="10"/>
        <v>0</v>
      </c>
      <c r="Q117" s="12">
        <v>702.5</v>
      </c>
      <c r="R117" s="12">
        <f t="shared" si="11"/>
        <v>2.8466463285771173</v>
      </c>
    </row>
    <row r="118" spans="1:18" x14ac:dyDescent="0.25">
      <c r="A118" s="1">
        <f t="shared" si="18"/>
        <v>119</v>
      </c>
      <c r="B118" s="1" t="s">
        <v>25</v>
      </c>
      <c r="C118" t="s">
        <v>10</v>
      </c>
      <c r="D118" t="s">
        <v>45</v>
      </c>
      <c r="E118" t="s">
        <v>47</v>
      </c>
      <c r="F118" t="s">
        <v>39</v>
      </c>
      <c r="G118">
        <v>21</v>
      </c>
      <c r="H118">
        <v>7</v>
      </c>
      <c r="I118" t="s">
        <v>12</v>
      </c>
      <c r="J118" s="2">
        <v>200</v>
      </c>
      <c r="K118" s="2">
        <v>6.7460000000000004</v>
      </c>
      <c r="L118" s="2">
        <v>0.443</v>
      </c>
      <c r="M118" s="2">
        <f t="shared" si="14"/>
        <v>3.3730000000000002</v>
      </c>
      <c r="N118" s="2">
        <f t="shared" si="15"/>
        <v>0.2215</v>
      </c>
      <c r="O118" s="8">
        <v>327000</v>
      </c>
      <c r="P118" s="8">
        <f t="shared" si="10"/>
        <v>5.5145477526602864</v>
      </c>
      <c r="Q118" s="12">
        <v>2670</v>
      </c>
      <c r="R118" s="12">
        <f t="shared" si="11"/>
        <v>3.4265112613645754</v>
      </c>
    </row>
    <row r="119" spans="1:18" x14ac:dyDescent="0.25">
      <c r="A119" s="1">
        <f t="shared" si="18"/>
        <v>120</v>
      </c>
      <c r="B119" s="1" t="s">
        <v>26</v>
      </c>
      <c r="C119" t="s">
        <v>10</v>
      </c>
      <c r="D119" t="s">
        <v>45</v>
      </c>
      <c r="E119" t="s">
        <v>47</v>
      </c>
      <c r="F119" t="s">
        <v>39</v>
      </c>
      <c r="G119">
        <v>21</v>
      </c>
      <c r="H119">
        <v>7</v>
      </c>
      <c r="I119" t="s">
        <v>13</v>
      </c>
      <c r="J119" s="2">
        <v>180</v>
      </c>
      <c r="K119" s="2">
        <v>7.2039999999999997</v>
      </c>
      <c r="L119" s="2">
        <v>0.37</v>
      </c>
      <c r="M119" s="2">
        <f t="shared" si="14"/>
        <v>4.0022222222222226</v>
      </c>
      <c r="N119" s="2">
        <f t="shared" si="15"/>
        <v>0.20555555555555557</v>
      </c>
      <c r="O119" s="8">
        <v>174000</v>
      </c>
      <c r="P119" s="8">
        <f t="shared" si="10"/>
        <v>5.2405492482825995</v>
      </c>
      <c r="Q119" s="12">
        <v>833.5</v>
      </c>
      <c r="R119" s="12">
        <f t="shared" si="11"/>
        <v>2.920905604164024</v>
      </c>
    </row>
    <row r="120" spans="1:18" x14ac:dyDescent="0.25">
      <c r="A120" s="1">
        <f t="shared" si="18"/>
        <v>121</v>
      </c>
      <c r="B120" s="1" t="s">
        <v>24</v>
      </c>
      <c r="C120" t="s">
        <v>10</v>
      </c>
      <c r="D120" t="s">
        <v>45</v>
      </c>
      <c r="E120" t="s">
        <v>47</v>
      </c>
      <c r="F120" t="s">
        <v>39</v>
      </c>
      <c r="G120">
        <v>28</v>
      </c>
      <c r="H120">
        <v>14</v>
      </c>
      <c r="I120" t="s">
        <v>12</v>
      </c>
      <c r="J120" s="2">
        <v>290</v>
      </c>
      <c r="K120" s="2">
        <v>8.1750000000000007</v>
      </c>
      <c r="L120" s="2">
        <v>0.621</v>
      </c>
      <c r="M120" s="2">
        <f t="shared" si="14"/>
        <v>2.8189655172413794</v>
      </c>
      <c r="N120" s="2">
        <f t="shared" si="15"/>
        <v>0.21413793103448275</v>
      </c>
      <c r="O120" s="8">
        <v>1</v>
      </c>
      <c r="P120" s="8">
        <f t="shared" si="10"/>
        <v>0</v>
      </c>
      <c r="Q120" s="8">
        <v>1</v>
      </c>
      <c r="R120" s="12">
        <f t="shared" si="11"/>
        <v>0</v>
      </c>
    </row>
    <row r="121" spans="1:18" x14ac:dyDescent="0.25">
      <c r="A121" s="1">
        <f t="shared" si="18"/>
        <v>122</v>
      </c>
      <c r="B121" s="1" t="s">
        <v>33</v>
      </c>
      <c r="C121" t="s">
        <v>10</v>
      </c>
      <c r="D121" t="s">
        <v>45</v>
      </c>
      <c r="E121" t="s">
        <v>47</v>
      </c>
      <c r="F121" t="s">
        <v>39</v>
      </c>
      <c r="G121">
        <v>28</v>
      </c>
      <c r="H121">
        <v>14</v>
      </c>
      <c r="I121" t="s">
        <v>13</v>
      </c>
      <c r="J121" s="2">
        <v>290</v>
      </c>
      <c r="K121" s="2">
        <v>8.6229999999999993</v>
      </c>
      <c r="L121" s="2">
        <v>0.64300000000000002</v>
      </c>
      <c r="M121" s="2">
        <f t="shared" si="14"/>
        <v>2.9734482758620686</v>
      </c>
      <c r="N121" s="2">
        <f t="shared" si="15"/>
        <v>0.22172413793103449</v>
      </c>
      <c r="O121" s="8">
        <v>111500</v>
      </c>
      <c r="P121" s="8">
        <f t="shared" si="10"/>
        <v>5.0472748673841794</v>
      </c>
      <c r="Q121" s="12">
        <v>1020.5</v>
      </c>
      <c r="R121" s="12">
        <f t="shared" si="11"/>
        <v>3.0088130090520893</v>
      </c>
    </row>
    <row r="122" spans="1:18" x14ac:dyDescent="0.25">
      <c r="A122" s="1">
        <f t="shared" si="18"/>
        <v>123</v>
      </c>
      <c r="B122" s="1" t="s">
        <v>32</v>
      </c>
      <c r="C122" t="s">
        <v>10</v>
      </c>
      <c r="D122" t="s">
        <v>45</v>
      </c>
      <c r="E122" t="s">
        <v>47</v>
      </c>
      <c r="F122" t="s">
        <v>39</v>
      </c>
      <c r="G122">
        <v>28</v>
      </c>
      <c r="H122">
        <v>14</v>
      </c>
      <c r="I122" t="s">
        <v>12</v>
      </c>
      <c r="J122" s="2">
        <v>260</v>
      </c>
      <c r="K122" s="2">
        <v>9.3219999999999992</v>
      </c>
      <c r="L122" s="2">
        <v>0.53200000000000003</v>
      </c>
      <c r="M122" s="2">
        <f t="shared" si="14"/>
        <v>3.5853846153846152</v>
      </c>
      <c r="N122" s="2">
        <f t="shared" si="15"/>
        <v>0.20461538461538464</v>
      </c>
      <c r="O122" s="8">
        <v>1</v>
      </c>
      <c r="P122" s="8">
        <f t="shared" si="10"/>
        <v>0</v>
      </c>
      <c r="Q122" s="12">
        <v>34.450000000000003</v>
      </c>
      <c r="R122" s="12">
        <f t="shared" si="11"/>
        <v>1.5371892262436446</v>
      </c>
    </row>
    <row r="123" spans="1:18" x14ac:dyDescent="0.25">
      <c r="A123" s="1">
        <v>126</v>
      </c>
      <c r="B123" s="1" t="s">
        <v>34</v>
      </c>
      <c r="C123" t="s">
        <v>11</v>
      </c>
      <c r="D123" t="s">
        <v>45</v>
      </c>
      <c r="E123" t="s">
        <v>48</v>
      </c>
      <c r="F123" t="s">
        <v>39</v>
      </c>
      <c r="G123">
        <v>14</v>
      </c>
      <c r="H123">
        <v>0</v>
      </c>
      <c r="I123" t="s">
        <v>13</v>
      </c>
      <c r="J123" s="2">
        <v>115</v>
      </c>
      <c r="K123" s="2">
        <v>4.1130000000000004</v>
      </c>
      <c r="L123" s="2">
        <v>0.13600000000000001</v>
      </c>
      <c r="M123" s="2">
        <f t="shared" ref="M123:M145" si="19">(K123/J123)*100</f>
        <v>3.5765217391304351</v>
      </c>
      <c r="N123" s="2">
        <f t="shared" ref="N123:N145" si="20">(L123/J123)*100</f>
        <v>0.11826086956521741</v>
      </c>
      <c r="O123" s="8">
        <v>1</v>
      </c>
      <c r="P123" s="8">
        <f t="shared" si="10"/>
        <v>0</v>
      </c>
      <c r="Q123" s="8">
        <v>1</v>
      </c>
      <c r="R123" s="12">
        <f t="shared" si="11"/>
        <v>0</v>
      </c>
    </row>
    <row r="124" spans="1:18" x14ac:dyDescent="0.25">
      <c r="A124" s="1">
        <f t="shared" ref="A124:B127" si="21">A123+1</f>
        <v>127</v>
      </c>
      <c r="B124" s="1">
        <f t="shared" si="21"/>
        <v>827</v>
      </c>
      <c r="C124" t="s">
        <v>11</v>
      </c>
      <c r="D124" t="s">
        <v>45</v>
      </c>
      <c r="E124" t="s">
        <v>48</v>
      </c>
      <c r="F124" t="s">
        <v>39</v>
      </c>
      <c r="G124">
        <v>14</v>
      </c>
      <c r="H124">
        <v>0</v>
      </c>
      <c r="I124" t="s">
        <v>12</v>
      </c>
      <c r="J124" s="2">
        <v>115</v>
      </c>
      <c r="K124" s="2">
        <v>4.2119999999999997</v>
      </c>
      <c r="L124" s="2">
        <v>0.13700000000000001</v>
      </c>
      <c r="M124" s="2">
        <f t="shared" si="19"/>
        <v>3.6626086956521737</v>
      </c>
      <c r="N124" s="2">
        <f t="shared" si="20"/>
        <v>0.11913043478260869</v>
      </c>
      <c r="O124" s="8">
        <v>1</v>
      </c>
      <c r="P124" s="8">
        <f t="shared" si="10"/>
        <v>0</v>
      </c>
      <c r="Q124" s="8">
        <v>1</v>
      </c>
      <c r="R124" s="12">
        <f t="shared" si="11"/>
        <v>0</v>
      </c>
    </row>
    <row r="125" spans="1:18" s="5" customFormat="1" x14ac:dyDescent="0.25">
      <c r="A125" s="1">
        <f t="shared" si="21"/>
        <v>128</v>
      </c>
      <c r="B125" s="1">
        <f t="shared" si="21"/>
        <v>828</v>
      </c>
      <c r="C125" t="s">
        <v>11</v>
      </c>
      <c r="D125" t="s">
        <v>45</v>
      </c>
      <c r="E125" t="s">
        <v>48</v>
      </c>
      <c r="F125" t="s">
        <v>39</v>
      </c>
      <c r="G125">
        <v>14</v>
      </c>
      <c r="H125">
        <v>0</v>
      </c>
      <c r="I125" t="s">
        <v>13</v>
      </c>
      <c r="J125" s="2">
        <v>115</v>
      </c>
      <c r="K125" s="2">
        <v>6.3620000000000001</v>
      </c>
      <c r="L125" s="2">
        <v>0.38800000000000001</v>
      </c>
      <c r="M125" s="2">
        <f t="shared" si="19"/>
        <v>5.5321739130434784</v>
      </c>
      <c r="N125" s="2">
        <f t="shared" si="20"/>
        <v>0.3373913043478261</v>
      </c>
      <c r="O125" s="8">
        <v>1</v>
      </c>
      <c r="P125" s="8">
        <f t="shared" si="10"/>
        <v>0</v>
      </c>
      <c r="Q125" s="8">
        <v>1</v>
      </c>
      <c r="R125" s="12">
        <f t="shared" si="11"/>
        <v>0</v>
      </c>
    </row>
    <row r="126" spans="1:18" s="5" customFormat="1" x14ac:dyDescent="0.25">
      <c r="A126" s="1">
        <f t="shared" si="21"/>
        <v>129</v>
      </c>
      <c r="B126" s="1">
        <f t="shared" si="21"/>
        <v>829</v>
      </c>
      <c r="C126" t="s">
        <v>11</v>
      </c>
      <c r="D126" t="s">
        <v>45</v>
      </c>
      <c r="E126" t="s">
        <v>48</v>
      </c>
      <c r="F126" t="s">
        <v>39</v>
      </c>
      <c r="G126">
        <v>14</v>
      </c>
      <c r="H126">
        <v>0</v>
      </c>
      <c r="I126" t="s">
        <v>13</v>
      </c>
      <c r="J126" s="2">
        <v>145</v>
      </c>
      <c r="K126" s="2">
        <v>4.5819999999999999</v>
      </c>
      <c r="L126" s="2">
        <v>0.191</v>
      </c>
      <c r="M126" s="2">
        <f t="shared" si="19"/>
        <v>3.1599999999999997</v>
      </c>
      <c r="N126" s="2">
        <f t="shared" si="20"/>
        <v>0.13172413793103449</v>
      </c>
      <c r="O126" s="8">
        <v>1</v>
      </c>
      <c r="P126" s="8">
        <f t="shared" si="10"/>
        <v>0</v>
      </c>
      <c r="Q126" s="8">
        <v>1</v>
      </c>
      <c r="R126" s="12">
        <f t="shared" si="11"/>
        <v>0</v>
      </c>
    </row>
    <row r="127" spans="1:18" x14ac:dyDescent="0.25">
      <c r="A127" s="1">
        <f t="shared" si="21"/>
        <v>130</v>
      </c>
      <c r="B127" s="1">
        <f t="shared" si="21"/>
        <v>830</v>
      </c>
      <c r="C127" t="s">
        <v>11</v>
      </c>
      <c r="D127" t="s">
        <v>45</v>
      </c>
      <c r="E127" t="s">
        <v>48</v>
      </c>
      <c r="F127" t="s">
        <v>39</v>
      </c>
      <c r="G127">
        <v>14</v>
      </c>
      <c r="H127">
        <v>0</v>
      </c>
      <c r="I127" t="s">
        <v>13</v>
      </c>
      <c r="J127" s="2">
        <v>100</v>
      </c>
      <c r="K127" s="2">
        <v>3.75</v>
      </c>
      <c r="L127" s="2">
        <v>9.6000000000000002E-2</v>
      </c>
      <c r="M127" s="2">
        <f t="shared" si="19"/>
        <v>3.75</v>
      </c>
      <c r="N127" s="2">
        <f t="shared" si="20"/>
        <v>9.6000000000000002E-2</v>
      </c>
      <c r="O127" s="8">
        <v>1</v>
      </c>
      <c r="P127" s="8">
        <f t="shared" si="10"/>
        <v>0</v>
      </c>
      <c r="Q127" s="8">
        <v>1</v>
      </c>
      <c r="R127" s="12">
        <f t="shared" si="11"/>
        <v>0</v>
      </c>
    </row>
    <row r="128" spans="1:18" x14ac:dyDescent="0.25">
      <c r="A128" s="1">
        <f t="shared" ref="A128:A145" si="22">A127+1</f>
        <v>131</v>
      </c>
      <c r="B128" s="1">
        <f>B127+1</f>
        <v>831</v>
      </c>
      <c r="C128" t="s">
        <v>11</v>
      </c>
      <c r="D128" t="s">
        <v>45</v>
      </c>
      <c r="E128" t="s">
        <v>48</v>
      </c>
      <c r="F128" t="s">
        <v>39</v>
      </c>
      <c r="G128">
        <v>17</v>
      </c>
      <c r="H128">
        <v>3</v>
      </c>
      <c r="I128" t="s">
        <v>12</v>
      </c>
      <c r="J128" s="2">
        <v>165</v>
      </c>
      <c r="K128" s="2">
        <v>6.5339999999999998</v>
      </c>
      <c r="L128" s="2">
        <v>0.219</v>
      </c>
      <c r="M128" s="2">
        <f t="shared" si="19"/>
        <v>3.9599999999999995</v>
      </c>
      <c r="N128" s="2">
        <f t="shared" si="20"/>
        <v>0.13272727272727272</v>
      </c>
      <c r="O128" s="8">
        <v>1</v>
      </c>
      <c r="P128" s="8">
        <f t="shared" si="10"/>
        <v>0</v>
      </c>
      <c r="Q128" s="8">
        <v>1</v>
      </c>
      <c r="R128" s="12">
        <f t="shared" si="11"/>
        <v>0</v>
      </c>
    </row>
    <row r="129" spans="1:18" x14ac:dyDescent="0.25">
      <c r="A129" s="1">
        <f t="shared" si="22"/>
        <v>132</v>
      </c>
      <c r="B129" s="1">
        <f t="shared" ref="B129:B145" si="23">B128+1</f>
        <v>832</v>
      </c>
      <c r="C129" t="s">
        <v>11</v>
      </c>
      <c r="D129" t="s">
        <v>45</v>
      </c>
      <c r="E129" t="s">
        <v>48</v>
      </c>
      <c r="F129" t="s">
        <v>39</v>
      </c>
      <c r="G129">
        <v>17</v>
      </c>
      <c r="H129">
        <v>3</v>
      </c>
      <c r="I129" t="s">
        <v>13</v>
      </c>
      <c r="J129" s="2">
        <v>165</v>
      </c>
      <c r="K129" s="2">
        <v>5.8090000000000002</v>
      </c>
      <c r="L129" s="2">
        <v>0.21</v>
      </c>
      <c r="M129" s="2">
        <f t="shared" si="19"/>
        <v>3.520606060606061</v>
      </c>
      <c r="N129" s="2">
        <f t="shared" si="20"/>
        <v>0.12727272727272726</v>
      </c>
      <c r="O129" s="8">
        <v>1</v>
      </c>
      <c r="P129" s="8">
        <f t="shared" si="10"/>
        <v>0</v>
      </c>
      <c r="Q129" s="8">
        <v>1</v>
      </c>
      <c r="R129" s="12">
        <f t="shared" si="11"/>
        <v>0</v>
      </c>
    </row>
    <row r="130" spans="1:18" x14ac:dyDescent="0.25">
      <c r="A130" s="1">
        <f t="shared" si="22"/>
        <v>133</v>
      </c>
      <c r="B130" s="1">
        <f t="shared" si="23"/>
        <v>833</v>
      </c>
      <c r="C130" t="s">
        <v>11</v>
      </c>
      <c r="D130" t="s">
        <v>45</v>
      </c>
      <c r="E130" t="s">
        <v>48</v>
      </c>
      <c r="F130" t="s">
        <v>39</v>
      </c>
      <c r="G130">
        <v>17</v>
      </c>
      <c r="H130">
        <v>3</v>
      </c>
      <c r="I130" t="s">
        <v>13</v>
      </c>
      <c r="J130" s="2">
        <v>140</v>
      </c>
      <c r="K130" s="2">
        <v>5.9290000000000003</v>
      </c>
      <c r="L130" s="2">
        <v>0.191</v>
      </c>
      <c r="M130" s="2">
        <f t="shared" si="19"/>
        <v>4.2349999999999994</v>
      </c>
      <c r="N130" s="2">
        <f t="shared" si="20"/>
        <v>0.13642857142857143</v>
      </c>
      <c r="O130" s="8">
        <v>1</v>
      </c>
      <c r="P130" s="8">
        <f t="shared" si="10"/>
        <v>0</v>
      </c>
      <c r="Q130" s="8">
        <v>1</v>
      </c>
      <c r="R130" s="12">
        <f t="shared" si="11"/>
        <v>0</v>
      </c>
    </row>
    <row r="131" spans="1:18" x14ac:dyDescent="0.25">
      <c r="A131" s="1">
        <f t="shared" si="22"/>
        <v>134</v>
      </c>
      <c r="B131" s="1">
        <f t="shared" si="23"/>
        <v>834</v>
      </c>
      <c r="C131" t="s">
        <v>11</v>
      </c>
      <c r="D131" t="s">
        <v>45</v>
      </c>
      <c r="E131" t="s">
        <v>48</v>
      </c>
      <c r="F131" t="s">
        <v>39</v>
      </c>
      <c r="G131">
        <v>17</v>
      </c>
      <c r="H131">
        <v>3</v>
      </c>
      <c r="I131" t="s">
        <v>13</v>
      </c>
      <c r="J131" s="2">
        <v>150</v>
      </c>
      <c r="K131" s="2">
        <v>7.1120000000000001</v>
      </c>
      <c r="L131" s="2">
        <v>0.23400000000000001</v>
      </c>
      <c r="M131" s="2">
        <f t="shared" si="19"/>
        <v>4.7413333333333334</v>
      </c>
      <c r="N131" s="2">
        <f t="shared" si="20"/>
        <v>0.15600000000000003</v>
      </c>
      <c r="O131" s="8">
        <v>1</v>
      </c>
      <c r="P131" s="8">
        <f t="shared" ref="P131:P145" si="24">LOG10(O131)</f>
        <v>0</v>
      </c>
      <c r="Q131" s="8">
        <v>1</v>
      </c>
      <c r="R131" s="12">
        <f t="shared" ref="R131:R145" si="25">LOG10(Q131)</f>
        <v>0</v>
      </c>
    </row>
    <row r="132" spans="1:18" x14ac:dyDescent="0.25">
      <c r="A132" s="1">
        <f t="shared" si="22"/>
        <v>135</v>
      </c>
      <c r="B132" s="1">
        <f t="shared" si="23"/>
        <v>835</v>
      </c>
      <c r="C132" t="s">
        <v>11</v>
      </c>
      <c r="D132" t="s">
        <v>45</v>
      </c>
      <c r="E132" t="s">
        <v>48</v>
      </c>
      <c r="F132" t="s">
        <v>39</v>
      </c>
      <c r="G132">
        <v>17</v>
      </c>
      <c r="H132">
        <v>3</v>
      </c>
      <c r="I132" t="s">
        <v>13</v>
      </c>
      <c r="J132" s="2">
        <v>150</v>
      </c>
      <c r="K132" s="2">
        <v>5.5670000000000002</v>
      </c>
      <c r="L132" s="2">
        <v>0.126</v>
      </c>
      <c r="M132" s="2">
        <f t="shared" si="19"/>
        <v>3.7113333333333332</v>
      </c>
      <c r="N132" s="2">
        <f t="shared" si="20"/>
        <v>8.4000000000000005E-2</v>
      </c>
      <c r="O132" s="8">
        <v>1</v>
      </c>
      <c r="P132" s="8">
        <f t="shared" si="24"/>
        <v>0</v>
      </c>
      <c r="Q132" s="8">
        <v>1</v>
      </c>
      <c r="R132" s="12">
        <f t="shared" si="25"/>
        <v>0</v>
      </c>
    </row>
    <row r="133" spans="1:18" x14ac:dyDescent="0.25">
      <c r="A133" s="1">
        <f t="shared" si="22"/>
        <v>136</v>
      </c>
      <c r="B133" s="1" t="s">
        <v>23</v>
      </c>
      <c r="C133" t="s">
        <v>11</v>
      </c>
      <c r="D133" t="s">
        <v>45</v>
      </c>
      <c r="E133" t="s">
        <v>48</v>
      </c>
      <c r="F133" t="s">
        <v>39</v>
      </c>
      <c r="G133">
        <v>19</v>
      </c>
      <c r="H133">
        <v>5</v>
      </c>
      <c r="I133" t="s">
        <v>13</v>
      </c>
      <c r="J133" s="2">
        <v>145</v>
      </c>
      <c r="K133" s="2">
        <v>5.5640000000000001</v>
      </c>
      <c r="L133" s="2">
        <v>0.214</v>
      </c>
      <c r="M133" s="2">
        <f t="shared" si="19"/>
        <v>3.837241379310345</v>
      </c>
      <c r="N133" s="2">
        <f t="shared" si="20"/>
        <v>0.14758620689655172</v>
      </c>
      <c r="O133" s="8">
        <v>1</v>
      </c>
      <c r="P133" s="8">
        <f t="shared" si="24"/>
        <v>0</v>
      </c>
      <c r="Q133" s="8">
        <v>1</v>
      </c>
      <c r="R133" s="12">
        <f t="shared" si="25"/>
        <v>0</v>
      </c>
    </row>
    <row r="134" spans="1:18" x14ac:dyDescent="0.25">
      <c r="A134" s="1">
        <f t="shared" si="22"/>
        <v>137</v>
      </c>
      <c r="B134" s="1">
        <f t="shared" si="23"/>
        <v>843</v>
      </c>
      <c r="C134" t="s">
        <v>11</v>
      </c>
      <c r="D134" t="s">
        <v>45</v>
      </c>
      <c r="E134" t="s">
        <v>48</v>
      </c>
      <c r="F134" t="s">
        <v>39</v>
      </c>
      <c r="G134">
        <v>19</v>
      </c>
      <c r="H134">
        <v>5</v>
      </c>
      <c r="I134" t="s">
        <v>12</v>
      </c>
      <c r="J134" s="2">
        <v>195</v>
      </c>
      <c r="K134" s="2">
        <v>6.8120000000000003</v>
      </c>
      <c r="L134" s="2">
        <v>0.439</v>
      </c>
      <c r="M134" s="2">
        <f t="shared" si="19"/>
        <v>3.4933333333333336</v>
      </c>
      <c r="N134" s="2">
        <f t="shared" si="20"/>
        <v>0.22512820512820514</v>
      </c>
      <c r="O134" s="8">
        <v>1</v>
      </c>
      <c r="P134" s="8">
        <f t="shared" si="24"/>
        <v>0</v>
      </c>
      <c r="Q134" s="8">
        <v>1</v>
      </c>
      <c r="R134" s="12">
        <f t="shared" si="25"/>
        <v>0</v>
      </c>
    </row>
    <row r="135" spans="1:18" x14ac:dyDescent="0.25">
      <c r="A135" s="1">
        <f t="shared" si="22"/>
        <v>138</v>
      </c>
      <c r="B135" s="1">
        <f t="shared" si="23"/>
        <v>844</v>
      </c>
      <c r="C135" t="s">
        <v>11</v>
      </c>
      <c r="D135" t="s">
        <v>45</v>
      </c>
      <c r="E135" t="s">
        <v>48</v>
      </c>
      <c r="F135" t="s">
        <v>39</v>
      </c>
      <c r="G135">
        <v>19</v>
      </c>
      <c r="H135">
        <v>5</v>
      </c>
      <c r="I135" t="s">
        <v>13</v>
      </c>
      <c r="J135" s="2">
        <v>195</v>
      </c>
      <c r="K135" s="2">
        <v>7.6790000000000003</v>
      </c>
      <c r="L135" s="2">
        <v>0.60099999999999998</v>
      </c>
      <c r="M135" s="2">
        <f t="shared" si="19"/>
        <v>3.9379487179487178</v>
      </c>
      <c r="N135" s="2">
        <f t="shared" si="20"/>
        <v>0.30820512820512819</v>
      </c>
      <c r="O135" s="8">
        <v>1</v>
      </c>
      <c r="P135" s="8">
        <f t="shared" si="24"/>
        <v>0</v>
      </c>
      <c r="Q135" s="8">
        <v>1</v>
      </c>
      <c r="R135" s="12">
        <f t="shared" si="25"/>
        <v>0</v>
      </c>
    </row>
    <row r="136" spans="1:18" x14ac:dyDescent="0.25">
      <c r="A136" s="1">
        <f t="shared" si="22"/>
        <v>139</v>
      </c>
      <c r="B136" s="1">
        <f t="shared" si="23"/>
        <v>845</v>
      </c>
      <c r="C136" t="s">
        <v>11</v>
      </c>
      <c r="D136" t="s">
        <v>45</v>
      </c>
      <c r="E136" t="s">
        <v>48</v>
      </c>
      <c r="F136" t="s">
        <v>39</v>
      </c>
      <c r="G136">
        <v>19</v>
      </c>
      <c r="H136">
        <v>5</v>
      </c>
      <c r="I136" t="s">
        <v>13</v>
      </c>
      <c r="J136" s="2">
        <v>175</v>
      </c>
      <c r="K136" s="2">
        <v>6.25</v>
      </c>
      <c r="L136" s="2">
        <v>0.27600000000000002</v>
      </c>
      <c r="M136" s="2">
        <f t="shared" si="19"/>
        <v>3.5714285714285712</v>
      </c>
      <c r="N136" s="2">
        <f t="shared" si="20"/>
        <v>0.15771428571428572</v>
      </c>
      <c r="O136" s="8">
        <v>1</v>
      </c>
      <c r="P136" s="8">
        <f t="shared" si="24"/>
        <v>0</v>
      </c>
      <c r="Q136" s="8">
        <v>1</v>
      </c>
      <c r="R136" s="12">
        <f t="shared" si="25"/>
        <v>0</v>
      </c>
    </row>
    <row r="137" spans="1:18" x14ac:dyDescent="0.25">
      <c r="A137" s="1">
        <f t="shared" si="22"/>
        <v>140</v>
      </c>
      <c r="B137" s="1">
        <f t="shared" si="23"/>
        <v>846</v>
      </c>
      <c r="C137" t="s">
        <v>11</v>
      </c>
      <c r="D137" t="s">
        <v>45</v>
      </c>
      <c r="E137" t="s">
        <v>48</v>
      </c>
      <c r="F137" t="s">
        <v>39</v>
      </c>
      <c r="G137">
        <v>19</v>
      </c>
      <c r="H137">
        <v>5</v>
      </c>
      <c r="I137" t="s">
        <v>12</v>
      </c>
      <c r="J137" s="2">
        <v>190</v>
      </c>
      <c r="K137" s="2">
        <v>6.7119999999999997</v>
      </c>
      <c r="L137" s="2">
        <v>0.311</v>
      </c>
      <c r="M137" s="2">
        <f t="shared" si="19"/>
        <v>3.5326315789473686</v>
      </c>
      <c r="N137" s="2">
        <f t="shared" si="20"/>
        <v>0.16368421052631579</v>
      </c>
      <c r="O137" s="8">
        <v>1</v>
      </c>
      <c r="P137" s="8">
        <f t="shared" si="24"/>
        <v>0</v>
      </c>
      <c r="Q137" s="8">
        <v>1</v>
      </c>
      <c r="R137" s="12">
        <f t="shared" si="25"/>
        <v>0</v>
      </c>
    </row>
    <row r="138" spans="1:18" x14ac:dyDescent="0.25">
      <c r="A138" s="1">
        <f t="shared" si="22"/>
        <v>141</v>
      </c>
      <c r="B138" s="1" t="s">
        <v>27</v>
      </c>
      <c r="C138" t="s">
        <v>11</v>
      </c>
      <c r="D138" t="s">
        <v>45</v>
      </c>
      <c r="E138" t="s">
        <v>48</v>
      </c>
      <c r="F138" t="s">
        <v>39</v>
      </c>
      <c r="G138">
        <v>21</v>
      </c>
      <c r="H138">
        <v>7</v>
      </c>
      <c r="I138" t="s">
        <v>12</v>
      </c>
      <c r="J138" s="2">
        <v>180</v>
      </c>
      <c r="K138" s="2">
        <v>6.2069999999999999</v>
      </c>
      <c r="L138" s="2">
        <v>0.29799999999999999</v>
      </c>
      <c r="M138" s="2">
        <f t="shared" si="19"/>
        <v>3.4483333333333333</v>
      </c>
      <c r="N138" s="2">
        <f t="shared" si="20"/>
        <v>0.16555555555555554</v>
      </c>
      <c r="O138" s="8">
        <v>1</v>
      </c>
      <c r="P138" s="8">
        <f t="shared" si="24"/>
        <v>0</v>
      </c>
      <c r="Q138" s="8">
        <v>1</v>
      </c>
      <c r="R138" s="12">
        <f t="shared" si="25"/>
        <v>0</v>
      </c>
    </row>
    <row r="139" spans="1:18" x14ac:dyDescent="0.25">
      <c r="A139" s="1">
        <f t="shared" si="22"/>
        <v>142</v>
      </c>
      <c r="B139" s="1" t="s">
        <v>28</v>
      </c>
      <c r="C139" t="s">
        <v>11</v>
      </c>
      <c r="D139" t="s">
        <v>45</v>
      </c>
      <c r="E139" t="s">
        <v>48</v>
      </c>
      <c r="F139" t="s">
        <v>39</v>
      </c>
      <c r="G139">
        <v>21</v>
      </c>
      <c r="H139">
        <v>7</v>
      </c>
      <c r="I139" t="s">
        <v>12</v>
      </c>
      <c r="J139" s="2">
        <v>210</v>
      </c>
      <c r="K139" s="2">
        <v>6.024</v>
      </c>
      <c r="L139" s="2">
        <v>0.439</v>
      </c>
      <c r="M139" s="2">
        <f t="shared" si="19"/>
        <v>2.8685714285714288</v>
      </c>
      <c r="N139" s="2">
        <f t="shared" si="20"/>
        <v>0.20904761904761904</v>
      </c>
      <c r="O139" s="8">
        <v>1</v>
      </c>
      <c r="P139" s="8">
        <f t="shared" si="24"/>
        <v>0</v>
      </c>
      <c r="Q139" s="8">
        <v>1</v>
      </c>
      <c r="R139" s="12">
        <f t="shared" si="25"/>
        <v>0</v>
      </c>
    </row>
    <row r="140" spans="1:18" x14ac:dyDescent="0.25">
      <c r="A140" s="1">
        <f t="shared" si="22"/>
        <v>143</v>
      </c>
      <c r="B140" s="1" t="s">
        <v>29</v>
      </c>
      <c r="C140" t="s">
        <v>11</v>
      </c>
      <c r="D140" t="s">
        <v>45</v>
      </c>
      <c r="E140" t="s">
        <v>48</v>
      </c>
      <c r="F140" t="s">
        <v>39</v>
      </c>
      <c r="G140">
        <v>21</v>
      </c>
      <c r="H140">
        <v>7</v>
      </c>
      <c r="I140" t="s">
        <v>13</v>
      </c>
      <c r="J140" s="2">
        <v>185</v>
      </c>
      <c r="K140" s="2">
        <v>7.5730000000000004</v>
      </c>
      <c r="L140" s="2">
        <v>0.59299999999999997</v>
      </c>
      <c r="M140" s="2">
        <f t="shared" si="19"/>
        <v>4.0935135135135141</v>
      </c>
      <c r="N140" s="2">
        <f t="shared" si="20"/>
        <v>0.32054054054054049</v>
      </c>
      <c r="O140" s="8">
        <v>1</v>
      </c>
      <c r="P140" s="8">
        <f t="shared" si="24"/>
        <v>0</v>
      </c>
      <c r="Q140" s="8">
        <v>1</v>
      </c>
      <c r="R140" s="12">
        <f t="shared" si="25"/>
        <v>0</v>
      </c>
    </row>
    <row r="141" spans="1:18" x14ac:dyDescent="0.25">
      <c r="A141" s="1">
        <f t="shared" si="22"/>
        <v>144</v>
      </c>
      <c r="B141" s="1" t="s">
        <v>30</v>
      </c>
      <c r="C141" t="s">
        <v>11</v>
      </c>
      <c r="D141" t="s">
        <v>45</v>
      </c>
      <c r="E141" t="s">
        <v>48</v>
      </c>
      <c r="F141" t="s">
        <v>39</v>
      </c>
      <c r="G141">
        <v>21</v>
      </c>
      <c r="H141">
        <v>7</v>
      </c>
      <c r="I141" t="s">
        <v>13</v>
      </c>
      <c r="J141" s="2">
        <v>170</v>
      </c>
      <c r="K141" s="2">
        <v>6.1529999999999996</v>
      </c>
      <c r="L141" s="2">
        <v>0.246</v>
      </c>
      <c r="M141" s="2">
        <f t="shared" si="19"/>
        <v>3.6194117647058821</v>
      </c>
      <c r="N141" s="2">
        <f t="shared" si="20"/>
        <v>0.14470588235294118</v>
      </c>
      <c r="O141" s="8">
        <v>1</v>
      </c>
      <c r="P141" s="8">
        <f t="shared" si="24"/>
        <v>0</v>
      </c>
      <c r="Q141" s="8">
        <v>1</v>
      </c>
      <c r="R141" s="12">
        <f t="shared" si="25"/>
        <v>0</v>
      </c>
    </row>
    <row r="142" spans="1:18" x14ac:dyDescent="0.25">
      <c r="A142" s="1">
        <f t="shared" si="22"/>
        <v>145</v>
      </c>
      <c r="B142" s="1" t="s">
        <v>31</v>
      </c>
      <c r="C142" t="s">
        <v>11</v>
      </c>
      <c r="D142" t="s">
        <v>45</v>
      </c>
      <c r="E142" t="s">
        <v>48</v>
      </c>
      <c r="F142" t="s">
        <v>39</v>
      </c>
      <c r="G142">
        <v>21</v>
      </c>
      <c r="H142">
        <v>7</v>
      </c>
      <c r="I142" t="s">
        <v>13</v>
      </c>
      <c r="J142" s="2">
        <v>210</v>
      </c>
      <c r="K142" s="2">
        <v>6.7560000000000002</v>
      </c>
      <c r="L142" s="2">
        <v>0.32</v>
      </c>
      <c r="M142" s="2">
        <f t="shared" si="19"/>
        <v>3.2171428571428571</v>
      </c>
      <c r="N142" s="2">
        <f t="shared" si="20"/>
        <v>0.15238095238095239</v>
      </c>
      <c r="O142" s="8">
        <v>1</v>
      </c>
      <c r="P142" s="8">
        <f t="shared" si="24"/>
        <v>0</v>
      </c>
      <c r="Q142" s="8">
        <v>1</v>
      </c>
      <c r="R142" s="12">
        <f t="shared" si="25"/>
        <v>0</v>
      </c>
    </row>
    <row r="143" spans="1:18" x14ac:dyDescent="0.25">
      <c r="A143" s="1">
        <f t="shared" si="22"/>
        <v>146</v>
      </c>
      <c r="B143" s="1">
        <f t="shared" si="23"/>
        <v>848</v>
      </c>
      <c r="C143" t="s">
        <v>11</v>
      </c>
      <c r="D143" t="s">
        <v>45</v>
      </c>
      <c r="E143" t="s">
        <v>48</v>
      </c>
      <c r="F143" t="s">
        <v>39</v>
      </c>
      <c r="G143">
        <v>28</v>
      </c>
      <c r="H143">
        <v>14</v>
      </c>
      <c r="I143" t="s">
        <v>13</v>
      </c>
      <c r="J143" s="2">
        <v>390</v>
      </c>
      <c r="K143" s="2">
        <v>9.3960000000000008</v>
      </c>
      <c r="L143" s="2">
        <v>0.85</v>
      </c>
      <c r="M143" s="2">
        <f t="shared" si="19"/>
        <v>2.4092307692307693</v>
      </c>
      <c r="N143" s="2">
        <f t="shared" si="20"/>
        <v>0.21794871794871795</v>
      </c>
      <c r="O143" s="8">
        <v>1</v>
      </c>
      <c r="P143" s="8">
        <f t="shared" si="24"/>
        <v>0</v>
      </c>
      <c r="Q143" s="8">
        <v>1</v>
      </c>
      <c r="R143" s="12">
        <f t="shared" si="25"/>
        <v>0</v>
      </c>
    </row>
    <row r="144" spans="1:18" x14ac:dyDescent="0.25">
      <c r="A144" s="1">
        <f t="shared" si="22"/>
        <v>147</v>
      </c>
      <c r="B144" s="1">
        <f t="shared" si="23"/>
        <v>849</v>
      </c>
      <c r="C144" t="s">
        <v>11</v>
      </c>
      <c r="D144" t="s">
        <v>45</v>
      </c>
      <c r="E144" t="s">
        <v>48</v>
      </c>
      <c r="F144" t="s">
        <v>39</v>
      </c>
      <c r="G144">
        <v>28</v>
      </c>
      <c r="H144">
        <v>14</v>
      </c>
      <c r="I144" t="s">
        <v>12</v>
      </c>
      <c r="J144" s="2">
        <v>300</v>
      </c>
      <c r="K144" s="2">
        <v>8.4749999999999996</v>
      </c>
      <c r="L144" s="2">
        <v>0.54500000000000004</v>
      </c>
      <c r="M144" s="2">
        <f t="shared" si="19"/>
        <v>2.8249999999999997</v>
      </c>
      <c r="N144" s="2">
        <f t="shared" si="20"/>
        <v>0.18166666666666667</v>
      </c>
      <c r="O144" s="8">
        <v>1</v>
      </c>
      <c r="P144" s="8">
        <f t="shared" si="24"/>
        <v>0</v>
      </c>
      <c r="Q144" s="8">
        <v>1</v>
      </c>
      <c r="R144" s="12">
        <f t="shared" si="25"/>
        <v>0</v>
      </c>
    </row>
    <row r="145" spans="1:18" x14ac:dyDescent="0.25">
      <c r="A145" s="1">
        <f t="shared" si="22"/>
        <v>148</v>
      </c>
      <c r="B145" s="1">
        <f t="shared" si="23"/>
        <v>850</v>
      </c>
      <c r="C145" t="s">
        <v>11</v>
      </c>
      <c r="D145" t="s">
        <v>45</v>
      </c>
      <c r="E145" t="s">
        <v>48</v>
      </c>
      <c r="F145" t="s">
        <v>39</v>
      </c>
      <c r="G145">
        <v>28</v>
      </c>
      <c r="H145">
        <v>14</v>
      </c>
      <c r="I145" t="s">
        <v>12</v>
      </c>
      <c r="J145" s="2">
        <v>255</v>
      </c>
      <c r="K145" s="2">
        <v>7.7990000000000004</v>
      </c>
      <c r="L145" s="2">
        <v>0.53300000000000003</v>
      </c>
      <c r="M145" s="2">
        <f t="shared" si="19"/>
        <v>3.0584313725490198</v>
      </c>
      <c r="N145" s="2">
        <f t="shared" si="20"/>
        <v>0.20901960784313728</v>
      </c>
      <c r="O145" s="8">
        <v>1</v>
      </c>
      <c r="P145" s="8">
        <f t="shared" si="24"/>
        <v>0</v>
      </c>
      <c r="Q145" s="8">
        <v>1</v>
      </c>
      <c r="R145" s="12">
        <f t="shared" si="25"/>
        <v>0</v>
      </c>
    </row>
    <row r="146" spans="1:18" x14ac:dyDescent="0.25">
      <c r="Q146" s="8"/>
    </row>
    <row r="147" spans="1:18" x14ac:dyDescent="0.25">
      <c r="Q147" s="8"/>
    </row>
    <row r="150" spans="1:18" s="5" customFormat="1" x14ac:dyDescent="0.25">
      <c r="A150" s="3"/>
      <c r="B150" s="4"/>
      <c r="J150" s="6"/>
      <c r="K150" s="6"/>
      <c r="L150" s="6"/>
      <c r="O150" s="10"/>
      <c r="P150" s="10"/>
    </row>
    <row r="151" spans="1:18" s="5" customFormat="1" x14ac:dyDescent="0.25">
      <c r="A151" s="3"/>
      <c r="B151" s="4"/>
      <c r="J151" s="6"/>
      <c r="K151" s="6"/>
      <c r="L151" s="6"/>
      <c r="O151" s="10"/>
      <c r="P151" s="10"/>
    </row>
  </sheetData>
  <dataValidations count="7">
    <dataValidation type="list" allowBlank="1" showInputMessage="1" showErrorMessage="1" sqref="H150:H151 H2:H145" xr:uid="{673D7E27-EBDA-4DBB-80E3-3B266EC2FCC0}">
      <formula1>"0,3,5,7,14"</formula1>
    </dataValidation>
    <dataValidation type="list" allowBlank="1" showInputMessage="1" showErrorMessage="1" sqref="G150:G151 G2:G145" xr:uid="{38CAC477-9576-4E7A-8EC6-0191D4B29509}">
      <formula1>"14,17,19,21,28"</formula1>
    </dataValidation>
    <dataValidation type="list" allowBlank="1" showInputMessage="1" showErrorMessage="1" sqref="F150:F151 F2:F145" xr:uid="{0A811B3A-DE5F-4B0F-BBA2-BE6E5A20B8AD}">
      <formula1>"SPF broiler (GD Animal Health-NL),SPF layer (VALO-DE)"</formula1>
    </dataValidation>
    <dataValidation type="list" allowBlank="1" showInputMessage="1" showErrorMessage="1" sqref="I2:I145" xr:uid="{868D20E4-46C2-4F54-A59D-FBCDD33ED0B3}">
      <formula1>"male,female"</formula1>
    </dataValidation>
    <dataValidation type="list" allowBlank="1" showInputMessage="1" showErrorMessage="1" sqref="C2:C145" xr:uid="{27738D74-0AA1-4246-BCB0-63142CB796F5}">
      <formula1>"TF1-B,TF2-B,TF3-B,TF1-L,TF2-L,TF3-L"</formula1>
    </dataValidation>
    <dataValidation type="list" allowBlank="1" showInputMessage="1" showErrorMessage="1" sqref="D2:D145" xr:uid="{012F26C5-266C-49C1-804D-4EE53B838EDF}">
      <formula1>"Broiler,Layer"</formula1>
    </dataValidation>
    <dataValidation type="list" allowBlank="1" showInputMessage="1" showErrorMessage="1" sqref="E2:E145" xr:uid="{A0489C9E-BBA7-4FB4-86FC-872A215CA02C}">
      <formula1>"FAdV, FAdV+AB,Control"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AAF2-D1E6-4040-9B0A-304AFF6E1044}">
  <dimension ref="A1:I151"/>
  <sheetViews>
    <sheetView topLeftCell="A7" workbookViewId="0">
      <selection activeCell="J32" sqref="J32"/>
    </sheetView>
  </sheetViews>
  <sheetFormatPr defaultRowHeight="15" x14ac:dyDescent="0.25"/>
  <sheetData>
    <row r="1" spans="1:9" x14ac:dyDescent="0.25">
      <c r="A1" s="7"/>
      <c r="B1" s="7"/>
      <c r="C1" s="13" t="s">
        <v>3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</row>
    <row r="2" spans="1:9" x14ac:dyDescent="0.25">
      <c r="A2" s="1"/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/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/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/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/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/>
      <c r="C7">
        <v>3</v>
      </c>
      <c r="D7">
        <v>1.568201724066995</v>
      </c>
      <c r="E7">
        <v>2.766784515497859</v>
      </c>
      <c r="F7">
        <v>0</v>
      </c>
      <c r="G7">
        <v>4.4835872969688939</v>
      </c>
      <c r="H7">
        <v>4.6190933306267423</v>
      </c>
      <c r="I7">
        <v>0</v>
      </c>
    </row>
    <row r="8" spans="1:9" x14ac:dyDescent="0.25">
      <c r="A8" s="1"/>
      <c r="C8">
        <v>3</v>
      </c>
      <c r="D8">
        <v>6.2624510897304297</v>
      </c>
      <c r="E8">
        <v>5.725094521081469</v>
      </c>
      <c r="F8">
        <v>0</v>
      </c>
      <c r="G8">
        <v>6.4031205211758175</v>
      </c>
      <c r="H8">
        <v>4.743117625214742</v>
      </c>
      <c r="I8">
        <v>0</v>
      </c>
    </row>
    <row r="9" spans="1:9" x14ac:dyDescent="0.25">
      <c r="A9" s="1"/>
      <c r="C9">
        <v>3</v>
      </c>
      <c r="D9">
        <v>2.9306943876645355</v>
      </c>
      <c r="E9">
        <v>4.6998377258672459</v>
      </c>
      <c r="F9">
        <v>0</v>
      </c>
      <c r="G9">
        <v>5.1917303933628567</v>
      </c>
      <c r="H9">
        <v>5.5971464878336956</v>
      </c>
      <c r="I9">
        <v>0</v>
      </c>
    </row>
    <row r="10" spans="1:9" x14ac:dyDescent="0.25">
      <c r="A10" s="1"/>
      <c r="C10">
        <v>3</v>
      </c>
      <c r="D10">
        <v>4.4517864355242907</v>
      </c>
      <c r="E10">
        <v>1.8257505813480277</v>
      </c>
      <c r="F10">
        <v>0</v>
      </c>
      <c r="G10">
        <v>2.741939077729199</v>
      </c>
      <c r="H10">
        <v>5.8918161195248606</v>
      </c>
      <c r="I10">
        <v>0</v>
      </c>
    </row>
    <row r="11" spans="1:9" x14ac:dyDescent="0.25">
      <c r="A11" s="1"/>
      <c r="C11">
        <v>3</v>
      </c>
      <c r="D11">
        <v>4.2659963704950794</v>
      </c>
      <c r="E11">
        <v>0</v>
      </c>
      <c r="F11">
        <v>0</v>
      </c>
      <c r="G11">
        <v>4.907411360774586</v>
      </c>
      <c r="H11">
        <v>0</v>
      </c>
      <c r="I11">
        <v>0</v>
      </c>
    </row>
    <row r="12" spans="1:9" x14ac:dyDescent="0.25">
      <c r="A12" s="1"/>
      <c r="C12">
        <v>5</v>
      </c>
      <c r="D12">
        <v>9.2889196056617269</v>
      </c>
      <c r="E12">
        <v>9.8830933585756906</v>
      </c>
      <c r="F12">
        <v>0</v>
      </c>
      <c r="G12">
        <v>4.5893910231369333</v>
      </c>
      <c r="H12">
        <v>4.011147360775797</v>
      </c>
      <c r="I12">
        <v>0</v>
      </c>
    </row>
    <row r="13" spans="1:9" x14ac:dyDescent="0.25">
      <c r="A13" s="1"/>
      <c r="C13">
        <v>5</v>
      </c>
      <c r="D13">
        <v>10.8372727025023</v>
      </c>
      <c r="E13">
        <v>7.9146075677710801</v>
      </c>
      <c r="F13">
        <v>0</v>
      </c>
      <c r="G13">
        <v>5.1383026981662816</v>
      </c>
      <c r="H13">
        <v>5.973589623427257</v>
      </c>
      <c r="I13">
        <v>0</v>
      </c>
    </row>
    <row r="14" spans="1:9" x14ac:dyDescent="0.25">
      <c r="A14" s="1"/>
      <c r="C14">
        <v>5</v>
      </c>
      <c r="D14">
        <v>8.0773679052841558</v>
      </c>
      <c r="E14">
        <v>9.5112147011363888</v>
      </c>
      <c r="F14">
        <v>0</v>
      </c>
      <c r="G14">
        <v>6.3654879848908994</v>
      </c>
      <c r="H14">
        <v>1.5628873812938793</v>
      </c>
      <c r="I14">
        <v>0</v>
      </c>
    </row>
    <row r="15" spans="1:9" x14ac:dyDescent="0.25">
      <c r="A15" s="1"/>
      <c r="C15">
        <v>5</v>
      </c>
      <c r="D15">
        <v>9.795880017344075</v>
      </c>
      <c r="E15">
        <v>6.1122697684172707</v>
      </c>
      <c r="F15">
        <v>0</v>
      </c>
      <c r="G15">
        <v>5.7551122663950709</v>
      </c>
      <c r="H15">
        <v>1.6866362692622934</v>
      </c>
      <c r="I15">
        <v>0</v>
      </c>
    </row>
    <row r="16" spans="1:9" x14ac:dyDescent="0.25">
      <c r="A16" s="1"/>
      <c r="C16">
        <v>5</v>
      </c>
      <c r="D16">
        <v>8.1089031276673129</v>
      </c>
      <c r="E16">
        <v>10.02530586526477</v>
      </c>
      <c r="F16">
        <v>0</v>
      </c>
      <c r="G16">
        <v>2.989894563718773</v>
      </c>
      <c r="H16">
        <v>2.6389881593436821</v>
      </c>
      <c r="I16">
        <v>0</v>
      </c>
    </row>
    <row r="17" spans="1:9" x14ac:dyDescent="0.25">
      <c r="A17" s="1"/>
      <c r="C17">
        <v>7</v>
      </c>
      <c r="D17">
        <v>7.9185545305502734</v>
      </c>
      <c r="E17">
        <v>10.8208579894397</v>
      </c>
      <c r="F17">
        <v>0</v>
      </c>
      <c r="G17">
        <v>2.3970705499594089</v>
      </c>
      <c r="H17">
        <v>1.9752019622578525</v>
      </c>
      <c r="I17">
        <v>0</v>
      </c>
    </row>
    <row r="18" spans="1:9" x14ac:dyDescent="0.25">
      <c r="A18" s="1"/>
      <c r="C18">
        <v>7</v>
      </c>
      <c r="D18">
        <v>6.8816699076720615</v>
      </c>
      <c r="E18">
        <v>9.3873898263387296</v>
      </c>
      <c r="F18">
        <v>0</v>
      </c>
      <c r="G18">
        <v>3.5282737771670436</v>
      </c>
      <c r="H18">
        <v>1.6932871570056556</v>
      </c>
      <c r="I18">
        <v>0</v>
      </c>
    </row>
    <row r="19" spans="1:9" x14ac:dyDescent="0.25">
      <c r="A19" s="1"/>
      <c r="C19">
        <v>7</v>
      </c>
      <c r="D19">
        <v>3.7271344237604889</v>
      </c>
      <c r="E19">
        <v>9.0271456657743414</v>
      </c>
      <c r="F19">
        <v>0</v>
      </c>
      <c r="G19">
        <v>1.8135809885681919</v>
      </c>
      <c r="H19">
        <v>0</v>
      </c>
      <c r="I19">
        <v>0</v>
      </c>
    </row>
    <row r="20" spans="1:9" x14ac:dyDescent="0.25">
      <c r="A20" s="1"/>
      <c r="C20">
        <v>7</v>
      </c>
      <c r="D20">
        <v>9.5699588180965947</v>
      </c>
      <c r="E20">
        <v>9.7734207232906094</v>
      </c>
      <c r="F20">
        <v>0</v>
      </c>
      <c r="G20">
        <v>2.1100844228869233</v>
      </c>
      <c r="H20">
        <v>5.5145477526602864</v>
      </c>
      <c r="I20">
        <v>0</v>
      </c>
    </row>
    <row r="21" spans="1:9" x14ac:dyDescent="0.25">
      <c r="A21" s="1"/>
      <c r="C21">
        <v>7</v>
      </c>
      <c r="D21">
        <v>6.195899652409234</v>
      </c>
      <c r="E21">
        <v>7.7375901662857212</v>
      </c>
      <c r="F21">
        <v>0</v>
      </c>
      <c r="G21">
        <v>4.0934216851622347</v>
      </c>
      <c r="H21">
        <v>5.2405492482825995</v>
      </c>
      <c r="I21">
        <v>0</v>
      </c>
    </row>
    <row r="22" spans="1:9" x14ac:dyDescent="0.25">
      <c r="A22" s="1"/>
      <c r="C22">
        <v>14</v>
      </c>
      <c r="D22">
        <v>5.2405492482825995</v>
      </c>
      <c r="E22">
        <v>3.3829171350875309</v>
      </c>
      <c r="F22">
        <v>0</v>
      </c>
      <c r="G22">
        <v>1.8603380065709938</v>
      </c>
      <c r="H22">
        <v>0</v>
      </c>
      <c r="I22">
        <v>0</v>
      </c>
    </row>
    <row r="23" spans="1:9" x14ac:dyDescent="0.25">
      <c r="A23" s="1"/>
      <c r="C23">
        <v>14</v>
      </c>
      <c r="D23">
        <v>3.925569909543376</v>
      </c>
      <c r="E23">
        <v>2.8765065042658811</v>
      </c>
      <c r="F23">
        <v>0</v>
      </c>
      <c r="G23">
        <v>0</v>
      </c>
      <c r="H23">
        <v>5.0472748673841794</v>
      </c>
      <c r="I23">
        <v>0</v>
      </c>
    </row>
    <row r="24" spans="1:9" x14ac:dyDescent="0.25">
      <c r="A24" s="1"/>
      <c r="C24">
        <v>14</v>
      </c>
      <c r="D24">
        <v>2.3424226808222062</v>
      </c>
      <c r="E24">
        <v>1.9294189257142926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/>
      <c r="C25">
        <v>14</v>
      </c>
      <c r="D25">
        <v>2.8555191556678001</v>
      </c>
      <c r="E25">
        <v>3.5346605758284442</v>
      </c>
      <c r="F25">
        <v>0</v>
      </c>
    </row>
    <row r="26" spans="1:9" x14ac:dyDescent="0.25">
      <c r="A26" s="1"/>
      <c r="C26">
        <v>14</v>
      </c>
      <c r="D26">
        <v>2.5949447366950835</v>
      </c>
      <c r="E26">
        <v>3.9797759327296856</v>
      </c>
      <c r="F26">
        <v>0</v>
      </c>
    </row>
    <row r="27" spans="1:9" x14ac:dyDescent="0.25">
      <c r="A27" s="1"/>
    </row>
    <row r="28" spans="1:9" x14ac:dyDescent="0.25">
      <c r="A28" s="1"/>
    </row>
    <row r="29" spans="1:9" x14ac:dyDescent="0.25">
      <c r="A29" s="1"/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3" x14ac:dyDescent="0.25">
      <c r="A145" s="1"/>
    </row>
    <row r="150" spans="1:3" x14ac:dyDescent="0.25">
      <c r="A150" s="4"/>
      <c r="B150" s="5"/>
      <c r="C150" s="5"/>
    </row>
    <row r="151" spans="1:3" x14ac:dyDescent="0.25">
      <c r="A151" s="4"/>
      <c r="B151" s="5"/>
      <c r="C151" s="5"/>
    </row>
  </sheetData>
  <dataValidations count="2">
    <dataValidation type="list" allowBlank="1" showInputMessage="1" showErrorMessage="1" sqref="B2:B145 D1:I1" xr:uid="{9AAFCB19-4994-4434-BC40-14E7D5D63063}">
      <formula1>"TF1-B,TF2-B,TF3-B,TF1-L,TF2-L,TF3-L"</formula1>
    </dataValidation>
    <dataValidation type="list" allowBlank="1" showInputMessage="1" showErrorMessage="1" sqref="C2:C26" xr:uid="{D2DDC761-E390-4F2B-B878-293458E73310}">
      <formula1>"0,3,5,7,14"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7A0B-D767-4746-A754-29B3EA15AA86}">
  <dimension ref="A1:G26"/>
  <sheetViews>
    <sheetView workbookViewId="0">
      <selection activeCell="A2" sqref="A2:A26"/>
    </sheetView>
  </sheetViews>
  <sheetFormatPr defaultRowHeight="15" x14ac:dyDescent="0.25"/>
  <sheetData>
    <row r="1" spans="1:7" x14ac:dyDescent="0.25">
      <c r="A1" s="13" t="s">
        <v>3</v>
      </c>
      <c r="B1" s="14" t="s">
        <v>6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3</v>
      </c>
      <c r="B7">
        <v>2.7577754910119254</v>
      </c>
      <c r="C7">
        <v>1.5998830720736879</v>
      </c>
      <c r="D7">
        <v>0</v>
      </c>
      <c r="E7">
        <v>1.8037984079896743</v>
      </c>
      <c r="F7">
        <v>2.3975924340381169</v>
      </c>
      <c r="G7">
        <v>0</v>
      </c>
    </row>
    <row r="8" spans="1:7" x14ac:dyDescent="0.25">
      <c r="A8">
        <v>3</v>
      </c>
      <c r="B8">
        <v>3.271841606536499</v>
      </c>
      <c r="C8">
        <v>2.1687920203141817</v>
      </c>
      <c r="D8">
        <v>0</v>
      </c>
      <c r="E8">
        <v>2.7164207338465549</v>
      </c>
      <c r="F8">
        <v>1.3979400086720377</v>
      </c>
      <c r="G8">
        <v>0</v>
      </c>
    </row>
    <row r="9" spans="1:7" x14ac:dyDescent="0.25">
      <c r="A9">
        <v>3</v>
      </c>
      <c r="B9">
        <v>3.0124153747624329</v>
      </c>
      <c r="C9">
        <v>2.1972805581256192</v>
      </c>
      <c r="D9">
        <v>0</v>
      </c>
      <c r="E9">
        <v>2.8441664104502009</v>
      </c>
      <c r="F9">
        <v>2.0388187873736556</v>
      </c>
      <c r="G9">
        <v>0</v>
      </c>
    </row>
    <row r="10" spans="1:7" x14ac:dyDescent="0.25">
      <c r="A10">
        <v>3</v>
      </c>
      <c r="B10">
        <v>2.3443922736851106</v>
      </c>
      <c r="C10">
        <v>0</v>
      </c>
      <c r="D10">
        <v>0</v>
      </c>
      <c r="E10">
        <v>2.6560982020128319</v>
      </c>
      <c r="F10">
        <v>3.7934411329776636</v>
      </c>
      <c r="G10">
        <v>0</v>
      </c>
    </row>
    <row r="11" spans="1:7" x14ac:dyDescent="0.25">
      <c r="A11">
        <v>3</v>
      </c>
      <c r="B11">
        <v>3.4149733479708178</v>
      </c>
      <c r="C11">
        <v>1.7263196121107753</v>
      </c>
      <c r="D11">
        <v>0</v>
      </c>
      <c r="E11">
        <v>2.651278013998144</v>
      </c>
      <c r="F11">
        <v>1.4712917110589385</v>
      </c>
      <c r="G11">
        <v>0</v>
      </c>
    </row>
    <row r="12" spans="1:7" x14ac:dyDescent="0.25">
      <c r="A12">
        <v>5</v>
      </c>
      <c r="B12">
        <v>7.1522883443830567</v>
      </c>
      <c r="C12">
        <v>5.4401216031878041</v>
      </c>
      <c r="D12">
        <v>0</v>
      </c>
      <c r="E12">
        <v>3.8469553250198238</v>
      </c>
      <c r="F12">
        <v>3.1425458840862763</v>
      </c>
      <c r="G12">
        <v>0</v>
      </c>
    </row>
    <row r="13" spans="1:7" x14ac:dyDescent="0.25">
      <c r="A13">
        <v>5</v>
      </c>
      <c r="B13">
        <v>8.1189257528257759</v>
      </c>
      <c r="C13">
        <v>5.8753506965792894</v>
      </c>
      <c r="D13">
        <v>0</v>
      </c>
      <c r="E13">
        <v>4.0153597554092144</v>
      </c>
      <c r="F13">
        <v>3.5211380837040362</v>
      </c>
      <c r="G13">
        <v>0</v>
      </c>
    </row>
    <row r="14" spans="1:7" x14ac:dyDescent="0.25">
      <c r="A14">
        <v>5</v>
      </c>
      <c r="B14">
        <v>6.5237464668115646</v>
      </c>
      <c r="C14">
        <v>6.1254812657005937</v>
      </c>
      <c r="D14">
        <v>0</v>
      </c>
      <c r="E14">
        <v>4.8668778143374984</v>
      </c>
      <c r="F14">
        <v>0.66086547800386919</v>
      </c>
      <c r="G14">
        <v>0</v>
      </c>
    </row>
    <row r="15" spans="1:7" x14ac:dyDescent="0.25">
      <c r="A15">
        <v>5</v>
      </c>
      <c r="B15">
        <v>7.1319392952104241</v>
      </c>
      <c r="C15">
        <v>7.3719909114649154</v>
      </c>
      <c r="D15">
        <v>0</v>
      </c>
      <c r="E15">
        <v>1.6901960800285136</v>
      </c>
      <c r="F15">
        <v>4.2944662261615933</v>
      </c>
      <c r="G15">
        <v>0</v>
      </c>
    </row>
    <row r="16" spans="1:7" x14ac:dyDescent="0.25">
      <c r="A16">
        <v>5</v>
      </c>
      <c r="B16">
        <v>6.1156105116742996</v>
      </c>
      <c r="C16">
        <v>5.784973709954401</v>
      </c>
      <c r="D16">
        <v>0</v>
      </c>
      <c r="E16">
        <v>3.7849737099544005</v>
      </c>
      <c r="F16">
        <v>3.4517864355242902</v>
      </c>
      <c r="G16">
        <v>0</v>
      </c>
    </row>
    <row r="17" spans="1:7" x14ac:dyDescent="0.25">
      <c r="A17">
        <v>7</v>
      </c>
      <c r="B17">
        <v>6.2121876044039581</v>
      </c>
      <c r="C17">
        <v>6.694166295933198</v>
      </c>
      <c r="D17">
        <v>0</v>
      </c>
      <c r="E17">
        <v>2.5646660642520893</v>
      </c>
      <c r="F17">
        <v>3.3847117429382823</v>
      </c>
      <c r="G17">
        <v>0</v>
      </c>
    </row>
    <row r="18" spans="1:7" x14ac:dyDescent="0.25">
      <c r="A18">
        <v>7</v>
      </c>
      <c r="B18">
        <v>5.2636360685881085</v>
      </c>
      <c r="C18">
        <v>4.641969597702059</v>
      </c>
      <c r="D18">
        <v>0</v>
      </c>
      <c r="E18">
        <v>3.8802417758954801</v>
      </c>
      <c r="F18">
        <v>2.9722028383790646</v>
      </c>
      <c r="G18">
        <v>0</v>
      </c>
    </row>
    <row r="19" spans="1:7" x14ac:dyDescent="0.25">
      <c r="A19">
        <v>7</v>
      </c>
      <c r="B19">
        <v>7.0176592742837647</v>
      </c>
      <c r="C19">
        <v>5.9122220565324151</v>
      </c>
      <c r="D19">
        <v>0</v>
      </c>
      <c r="E19">
        <v>3.3645509953539721</v>
      </c>
      <c r="F19">
        <v>2.8466463285771173</v>
      </c>
      <c r="G19">
        <v>0</v>
      </c>
    </row>
    <row r="20" spans="1:7" x14ac:dyDescent="0.25">
      <c r="A20">
        <v>7</v>
      </c>
      <c r="B20">
        <v>7.0549958615291413</v>
      </c>
      <c r="C20">
        <v>6.330413773349191</v>
      </c>
      <c r="D20">
        <v>0</v>
      </c>
      <c r="E20">
        <v>3.3617278360175931</v>
      </c>
      <c r="F20">
        <v>3.4265112613645754</v>
      </c>
      <c r="G20">
        <v>0</v>
      </c>
    </row>
    <row r="21" spans="1:7" x14ac:dyDescent="0.25">
      <c r="A21">
        <v>7</v>
      </c>
      <c r="B21">
        <v>5.0827853703164498</v>
      </c>
      <c r="C21">
        <v>5.1003705451175625</v>
      </c>
      <c r="D21">
        <v>0</v>
      </c>
      <c r="E21">
        <v>2.2600713879850747</v>
      </c>
      <c r="F21">
        <v>2.920905604164024</v>
      </c>
      <c r="G21">
        <v>0</v>
      </c>
    </row>
    <row r="22" spans="1:7" x14ac:dyDescent="0.25">
      <c r="A22">
        <v>14</v>
      </c>
      <c r="B22">
        <v>3.9705793057148511</v>
      </c>
      <c r="C22">
        <v>2.7581546219673898</v>
      </c>
      <c r="D22">
        <v>0</v>
      </c>
      <c r="E22">
        <v>1.4920616045125989</v>
      </c>
      <c r="F22">
        <v>0</v>
      </c>
      <c r="G22">
        <v>0</v>
      </c>
    </row>
    <row r="23" spans="1:7" x14ac:dyDescent="0.25">
      <c r="A23">
        <v>14</v>
      </c>
      <c r="B23">
        <v>5.7888751157754168</v>
      </c>
      <c r="C23">
        <v>3.5346605758284442</v>
      </c>
      <c r="D23">
        <v>0</v>
      </c>
      <c r="E23">
        <v>0</v>
      </c>
      <c r="F23">
        <v>3.0088130090520893</v>
      </c>
      <c r="G23">
        <v>0</v>
      </c>
    </row>
    <row r="24" spans="1:7" x14ac:dyDescent="0.25">
      <c r="A24">
        <v>14</v>
      </c>
      <c r="B24">
        <v>2.9628426812012423</v>
      </c>
      <c r="C24">
        <v>2.8782344686750441</v>
      </c>
      <c r="D24">
        <v>0</v>
      </c>
      <c r="E24">
        <v>0</v>
      </c>
      <c r="F24">
        <v>1.5371892262436446</v>
      </c>
      <c r="G24">
        <v>0</v>
      </c>
    </row>
    <row r="25" spans="1:7" x14ac:dyDescent="0.25">
      <c r="A25">
        <v>14</v>
      </c>
      <c r="B25">
        <v>3.0737183503461227</v>
      </c>
      <c r="C25">
        <v>5.1205739312058496</v>
      </c>
      <c r="D25">
        <v>0</v>
      </c>
    </row>
    <row r="26" spans="1:7" x14ac:dyDescent="0.25">
      <c r="A26">
        <v>14</v>
      </c>
      <c r="B26">
        <v>5.419955748489758</v>
      </c>
      <c r="C26">
        <v>5.0606978403536118</v>
      </c>
      <c r="D26">
        <v>0</v>
      </c>
    </row>
  </sheetData>
  <dataValidations count="2">
    <dataValidation type="list" allowBlank="1" showInputMessage="1" showErrorMessage="1" sqref="B1:G1" xr:uid="{60CE140A-9DCC-4785-BCDB-5AE0B386802A}">
      <formula1>"TF1-B,TF2-B,TF3-B,TF1-L,TF2-L,TF3-L"</formula1>
    </dataValidation>
    <dataValidation type="list" allowBlank="1" showInputMessage="1" showErrorMessage="1" sqref="A2:A26" xr:uid="{DB327A5A-10A2-4828-9492-3E3C1195C0A1}">
      <formula1>"0,3,5,7,14"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5DA1-A4AC-4243-A1B4-21729604643C}">
  <dimension ref="A1:D26"/>
  <sheetViews>
    <sheetView workbookViewId="0">
      <selection activeCell="G19" sqref="G19"/>
    </sheetView>
  </sheetViews>
  <sheetFormatPr defaultRowHeight="15" x14ac:dyDescent="0.25"/>
  <cols>
    <col min="1" max="1" width="14.85546875" customWidth="1"/>
    <col min="2" max="2" width="14" customWidth="1"/>
    <col min="3" max="3" width="11" customWidth="1"/>
    <col min="4" max="4" width="13.42578125" customWidth="1"/>
    <col min="5" max="5" width="12.140625" customWidth="1"/>
    <col min="6" max="6" width="12.85546875" customWidth="1"/>
    <col min="7" max="7" width="11.28515625" customWidth="1"/>
  </cols>
  <sheetData>
    <row r="1" spans="1:4" x14ac:dyDescent="0.25">
      <c r="A1" s="13" t="s">
        <v>3</v>
      </c>
      <c r="B1" s="14" t="s">
        <v>6</v>
      </c>
      <c r="C1" s="14" t="s">
        <v>7</v>
      </c>
      <c r="D1" s="14" t="s">
        <v>8</v>
      </c>
    </row>
    <row r="2" spans="1:4" x14ac:dyDescent="0.25">
      <c r="A2">
        <v>0</v>
      </c>
    </row>
    <row r="3" spans="1:4" x14ac:dyDescent="0.25">
      <c r="A3">
        <v>0</v>
      </c>
    </row>
    <row r="4" spans="1:4" x14ac:dyDescent="0.25">
      <c r="A4">
        <v>0</v>
      </c>
    </row>
    <row r="5" spans="1:4" x14ac:dyDescent="0.25">
      <c r="A5">
        <v>0</v>
      </c>
    </row>
    <row r="6" spans="1:4" x14ac:dyDescent="0.25">
      <c r="A6">
        <v>0</v>
      </c>
    </row>
    <row r="7" spans="1:4" x14ac:dyDescent="0.25">
      <c r="A7">
        <v>3</v>
      </c>
    </row>
    <row r="8" spans="1:4" x14ac:dyDescent="0.25">
      <c r="A8">
        <v>3</v>
      </c>
    </row>
    <row r="9" spans="1:4" x14ac:dyDescent="0.25">
      <c r="A9">
        <v>3</v>
      </c>
    </row>
    <row r="10" spans="1:4" x14ac:dyDescent="0.25">
      <c r="A10">
        <v>3</v>
      </c>
    </row>
    <row r="11" spans="1:4" x14ac:dyDescent="0.25">
      <c r="A11">
        <v>3</v>
      </c>
    </row>
    <row r="12" spans="1:4" x14ac:dyDescent="0.25">
      <c r="A12">
        <v>5</v>
      </c>
    </row>
    <row r="13" spans="1:4" x14ac:dyDescent="0.25">
      <c r="A13">
        <v>5</v>
      </c>
    </row>
    <row r="14" spans="1:4" x14ac:dyDescent="0.25">
      <c r="A14">
        <v>5</v>
      </c>
    </row>
    <row r="15" spans="1:4" x14ac:dyDescent="0.25">
      <c r="A15">
        <v>5</v>
      </c>
    </row>
    <row r="16" spans="1:4" x14ac:dyDescent="0.25">
      <c r="A16">
        <v>5</v>
      </c>
    </row>
    <row r="17" spans="1:1" x14ac:dyDescent="0.25">
      <c r="A17">
        <v>7</v>
      </c>
    </row>
    <row r="18" spans="1:1" x14ac:dyDescent="0.25">
      <c r="A18">
        <v>7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7</v>
      </c>
    </row>
    <row r="22" spans="1:1" x14ac:dyDescent="0.25">
      <c r="A22">
        <v>14</v>
      </c>
    </row>
    <row r="23" spans="1:1" x14ac:dyDescent="0.25">
      <c r="A23">
        <v>14</v>
      </c>
    </row>
    <row r="24" spans="1:1" x14ac:dyDescent="0.25">
      <c r="A24">
        <v>14</v>
      </c>
    </row>
    <row r="25" spans="1:1" x14ac:dyDescent="0.25">
      <c r="A25">
        <v>14</v>
      </c>
    </row>
    <row r="26" spans="1:1" x14ac:dyDescent="0.25">
      <c r="A26">
        <v>14</v>
      </c>
    </row>
  </sheetData>
  <dataValidations count="2">
    <dataValidation type="list" allowBlank="1" showInputMessage="1" showErrorMessage="1" sqref="B1:D1" xr:uid="{C30AC05C-2105-4AF8-B9EC-46CEA6B504F7}">
      <formula1>"TF1-B,TF2-B,TF3-B,TF1-L,TF2-L,TF3-L"</formula1>
    </dataValidation>
    <dataValidation type="list" allowBlank="1" showInputMessage="1" showErrorMessage="1" sqref="A2:A26" xr:uid="{58CC06DC-4212-482D-AF45-57D4A4AFBD1D}">
      <formula1>"0,3,5,7,14"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84F4-6C89-4263-AAE4-FE5D49F8034C}">
  <dimension ref="A1:D26"/>
  <sheetViews>
    <sheetView workbookViewId="0">
      <selection activeCell="F20" sqref="F20"/>
    </sheetView>
  </sheetViews>
  <sheetFormatPr defaultRowHeight="15" x14ac:dyDescent="0.25"/>
  <sheetData>
    <row r="1" spans="1:4" x14ac:dyDescent="0.25">
      <c r="A1" s="13" t="s">
        <v>3</v>
      </c>
      <c r="B1" s="14" t="s">
        <v>9</v>
      </c>
      <c r="C1" s="14" t="s">
        <v>10</v>
      </c>
      <c r="D1" s="14" t="s">
        <v>11</v>
      </c>
    </row>
    <row r="2" spans="1:4" x14ac:dyDescent="0.25">
      <c r="A2">
        <v>0</v>
      </c>
    </row>
    <row r="3" spans="1:4" x14ac:dyDescent="0.25">
      <c r="A3">
        <v>0</v>
      </c>
    </row>
    <row r="4" spans="1:4" x14ac:dyDescent="0.25">
      <c r="A4">
        <v>0</v>
      </c>
    </row>
    <row r="5" spans="1:4" x14ac:dyDescent="0.25">
      <c r="A5">
        <v>0</v>
      </c>
    </row>
    <row r="6" spans="1:4" x14ac:dyDescent="0.25">
      <c r="A6">
        <v>0</v>
      </c>
    </row>
    <row r="7" spans="1:4" x14ac:dyDescent="0.25">
      <c r="A7">
        <v>3</v>
      </c>
    </row>
    <row r="8" spans="1:4" x14ac:dyDescent="0.25">
      <c r="A8">
        <v>3</v>
      </c>
    </row>
    <row r="9" spans="1:4" x14ac:dyDescent="0.25">
      <c r="A9">
        <v>3</v>
      </c>
    </row>
    <row r="10" spans="1:4" x14ac:dyDescent="0.25">
      <c r="A10">
        <v>3</v>
      </c>
    </row>
    <row r="11" spans="1:4" x14ac:dyDescent="0.25">
      <c r="A11">
        <v>3</v>
      </c>
    </row>
    <row r="12" spans="1:4" x14ac:dyDescent="0.25">
      <c r="A12">
        <v>5</v>
      </c>
    </row>
    <row r="13" spans="1:4" x14ac:dyDescent="0.25">
      <c r="A13">
        <v>5</v>
      </c>
    </row>
    <row r="14" spans="1:4" x14ac:dyDescent="0.25">
      <c r="A14">
        <v>5</v>
      </c>
    </row>
    <row r="15" spans="1:4" x14ac:dyDescent="0.25">
      <c r="A15">
        <v>5</v>
      </c>
    </row>
    <row r="16" spans="1:4" x14ac:dyDescent="0.25">
      <c r="A16">
        <v>5</v>
      </c>
    </row>
    <row r="17" spans="1:1" x14ac:dyDescent="0.25">
      <c r="A17">
        <v>7</v>
      </c>
    </row>
    <row r="18" spans="1:1" x14ac:dyDescent="0.25">
      <c r="A18">
        <v>7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7</v>
      </c>
    </row>
    <row r="22" spans="1:1" x14ac:dyDescent="0.25">
      <c r="A22">
        <v>14</v>
      </c>
    </row>
    <row r="23" spans="1:1" x14ac:dyDescent="0.25">
      <c r="A23">
        <v>14</v>
      </c>
    </row>
    <row r="24" spans="1:1" x14ac:dyDescent="0.25">
      <c r="A24">
        <v>14</v>
      </c>
    </row>
    <row r="25" spans="1:1" x14ac:dyDescent="0.25">
      <c r="A25">
        <v>14</v>
      </c>
    </row>
    <row r="26" spans="1:1" x14ac:dyDescent="0.25">
      <c r="A26">
        <v>14</v>
      </c>
    </row>
  </sheetData>
  <dataValidations count="2">
    <dataValidation type="list" allowBlank="1" showInputMessage="1" showErrorMessage="1" sqref="A2:A26" xr:uid="{ABF2C98D-78C3-4A13-87CF-C1D515622B37}">
      <formula1>"0,3,5,7,14"</formula1>
    </dataValidation>
    <dataValidation type="list" allowBlank="1" showInputMessage="1" showErrorMessage="1" sqref="B1:D1" xr:uid="{1F1A9832-2045-41D2-9C9E-F36B7426873E}">
      <formula1>"TF1-B,TF2-B,TF3-B,TF1-L,TF2-L,TF3-L"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D390-C211-4876-8AB0-7C2C3BD322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Viral load Liver</vt:lpstr>
      <vt:lpstr>Viral Load Spleen</vt:lpstr>
      <vt:lpstr>BW Broilers</vt:lpstr>
      <vt:lpstr>BW Layers</vt:lpstr>
      <vt:lpstr>Sheet3</vt:lpstr>
    </vt:vector>
  </TitlesOfParts>
  <Company>Veterinaermedizinische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 Miguel</dc:creator>
  <cp:lastModifiedBy>Matos Miguel</cp:lastModifiedBy>
  <dcterms:created xsi:type="dcterms:W3CDTF">2025-06-03T08:57:33Z</dcterms:created>
  <dcterms:modified xsi:type="dcterms:W3CDTF">2025-11-20T10:32:13Z</dcterms:modified>
</cp:coreProperties>
</file>