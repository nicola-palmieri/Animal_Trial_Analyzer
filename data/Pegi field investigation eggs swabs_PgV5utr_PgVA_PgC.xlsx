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enutzer\Matos Miguel\PostDoc ECPVS\Pegivirus (ParPgV) - Partridges France 22.2813\Field monitoring 2024\"/>
    </mc:Choice>
  </mc:AlternateContent>
  <xr:revisionPtr revIDLastSave="0" documentId="13_ncr:1_{69998981-5BE3-4CBB-A84C-CDFE95F93EB6}" xr6:coauthVersionLast="47" xr6:coauthVersionMax="47" xr10:uidLastSave="{00000000-0000-0000-0000-000000000000}"/>
  <bookViews>
    <workbookView xWindow="5610" yWindow="3090" windowWidth="21600" windowHeight="11295" activeTab="1" xr2:uid="{501B8093-9A5B-45E0-B589-81A5C0E33096}"/>
  </bookViews>
  <sheets>
    <sheet name="Swabs" sheetId="1" r:id="rId1"/>
    <sheet name="Eg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2" l="1"/>
  <c r="I63" i="2"/>
  <c r="I64" i="2"/>
  <c r="I62" i="2"/>
  <c r="I54" i="2"/>
  <c r="I53" i="2"/>
  <c r="I45" i="2"/>
  <c r="I46" i="2"/>
  <c r="I44" i="2"/>
  <c r="H44" i="2"/>
  <c r="I35" i="2"/>
  <c r="I28" i="2"/>
  <c r="I27" i="2"/>
  <c r="I26" i="2"/>
  <c r="H26" i="2"/>
  <c r="I19" i="2"/>
  <c r="I18" i="2"/>
  <c r="I17" i="2"/>
  <c r="I10" i="2"/>
  <c r="I9" i="2"/>
  <c r="I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1" i="2"/>
  <c r="G22" i="2"/>
  <c r="G23" i="2"/>
  <c r="G24" i="2"/>
  <c r="G25" i="2"/>
  <c r="G26" i="2"/>
  <c r="G27" i="2"/>
  <c r="G28" i="2"/>
  <c r="G29" i="2"/>
  <c r="G30" i="2"/>
  <c r="G32" i="2"/>
  <c r="G33" i="2"/>
  <c r="G34" i="2"/>
  <c r="G35" i="2"/>
  <c r="G38" i="2"/>
  <c r="G39" i="2"/>
  <c r="G40" i="2"/>
  <c r="G41" i="2"/>
  <c r="G42" i="2"/>
  <c r="G43" i="2"/>
  <c r="G44" i="2"/>
  <c r="G45" i="2"/>
  <c r="G46" i="2"/>
  <c r="G48" i="2"/>
  <c r="G49" i="2"/>
  <c r="G50" i="2"/>
  <c r="G51" i="2"/>
  <c r="G52" i="2"/>
  <c r="G53" i="2"/>
  <c r="G54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2" i="2"/>
  <c r="H14" i="1"/>
  <c r="I3" i="1"/>
  <c r="I4" i="1"/>
  <c r="I6" i="1"/>
  <c r="I7" i="1"/>
  <c r="I8" i="1"/>
  <c r="I9" i="1"/>
  <c r="I10" i="1"/>
  <c r="I14" i="1"/>
  <c r="I15" i="1"/>
  <c r="I16" i="1"/>
  <c r="I18" i="1"/>
  <c r="I19" i="1"/>
  <c r="I20" i="1"/>
  <c r="I21" i="1"/>
  <c r="I22" i="1"/>
  <c r="I24" i="1"/>
  <c r="I25" i="1"/>
  <c r="I26" i="1"/>
  <c r="I27" i="1"/>
  <c r="I28" i="1"/>
  <c r="I32" i="1"/>
  <c r="I33" i="1"/>
  <c r="I34" i="1"/>
  <c r="I35" i="1"/>
  <c r="I36" i="1"/>
  <c r="I37" i="1"/>
  <c r="I38" i="1"/>
  <c r="I39" i="1"/>
  <c r="I41" i="1"/>
  <c r="I42" i="1"/>
  <c r="I43" i="1"/>
  <c r="I44" i="1"/>
  <c r="I46" i="1"/>
  <c r="I47" i="1"/>
  <c r="I48" i="1"/>
  <c r="G4" i="1"/>
  <c r="G5" i="1"/>
  <c r="G6" i="1"/>
  <c r="G7" i="1"/>
  <c r="G8" i="1"/>
  <c r="G9" i="1"/>
  <c r="G10" i="1"/>
  <c r="G14" i="1"/>
  <c r="G15" i="1"/>
  <c r="G16" i="1"/>
  <c r="G18" i="1"/>
  <c r="G20" i="1"/>
  <c r="G21" i="1"/>
  <c r="G22" i="1"/>
  <c r="G24" i="1"/>
  <c r="G26" i="1"/>
  <c r="G27" i="1"/>
  <c r="G28" i="1"/>
  <c r="G32" i="1"/>
  <c r="G33" i="1"/>
  <c r="G34" i="1"/>
  <c r="G35" i="1"/>
  <c r="G36" i="1"/>
  <c r="G37" i="1"/>
  <c r="G38" i="1"/>
  <c r="G39" i="1"/>
  <c r="G43" i="1"/>
  <c r="G44" i="1"/>
  <c r="G45" i="1"/>
  <c r="G46" i="1"/>
  <c r="G47" i="1"/>
  <c r="G49" i="1"/>
  <c r="I2" i="1"/>
  <c r="G3" i="1"/>
  <c r="G2" i="1"/>
</calcChain>
</file>

<file path=xl/sharedStrings.xml><?xml version="1.0" encoding="utf-8"?>
<sst xmlns="http://schemas.openxmlformats.org/spreadsheetml/2006/main" count="258" uniqueCount="23">
  <si>
    <t>Farm</t>
  </si>
  <si>
    <t>Pool</t>
  </si>
  <si>
    <t>Sex</t>
  </si>
  <si>
    <t>A</t>
  </si>
  <si>
    <t>female</t>
  </si>
  <si>
    <t>male</t>
  </si>
  <si>
    <t>B</t>
  </si>
  <si>
    <t>C</t>
  </si>
  <si>
    <t>D</t>
  </si>
  <si>
    <t>E</t>
  </si>
  <si>
    <t>F</t>
  </si>
  <si>
    <t>G</t>
  </si>
  <si>
    <t>H</t>
  </si>
  <si>
    <t>Sample</t>
  </si>
  <si>
    <t>Allantoic Fluid</t>
  </si>
  <si>
    <t>Egg Yolk</t>
  </si>
  <si>
    <t>Embryo</t>
  </si>
  <si>
    <r>
      <t>ParPgV (C</t>
    </r>
    <r>
      <rPr>
        <b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)</t>
    </r>
  </si>
  <si>
    <r>
      <t>ParPgV-A (C</t>
    </r>
    <r>
      <rPr>
        <b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)</t>
    </r>
  </si>
  <si>
    <r>
      <t>ParPgV-C (C</t>
    </r>
    <r>
      <rPr>
        <b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)</t>
    </r>
  </si>
  <si>
    <r>
      <t>ParPgV (</t>
    </r>
    <r>
      <rPr>
        <b/>
        <sz val="11"/>
        <color theme="1"/>
        <rFont val="Aptos Narrow"/>
        <family val="2"/>
      </rPr>
      <t>∆C</t>
    </r>
    <r>
      <rPr>
        <b/>
        <vertAlign val="subscript"/>
        <sz val="11"/>
        <color theme="1"/>
        <rFont val="Aptos Narrow"/>
        <family val="2"/>
      </rPr>
      <t>T</t>
    </r>
    <r>
      <rPr>
        <b/>
        <sz val="11"/>
        <color theme="1"/>
        <rFont val="Aptos Narrow"/>
        <family val="2"/>
      </rPr>
      <t>)</t>
    </r>
  </si>
  <si>
    <r>
      <t>ParPgV-A (∆C</t>
    </r>
    <r>
      <rPr>
        <b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)</t>
    </r>
  </si>
  <si>
    <r>
      <t>ParPgV-C (∆C</t>
    </r>
    <r>
      <rPr>
        <b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</si>
</sst>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11CC-0C58-463E-97CE-1B372CAB1611}">
  <dimension ref="A1:AA49"/>
  <sheetViews>
    <sheetView workbookViewId="0">
      <selection activeCell="N14" sqref="N14"/>
    </sheetView>
  </sheetViews>
  <sheetFormatPr defaultRowHeight="15" x14ac:dyDescent="0.25"/>
  <cols>
    <col min="4" max="4" width="14.42578125" customWidth="1"/>
    <col min="5" max="5" width="13.28515625" customWidth="1"/>
    <col min="6" max="6" width="14" customWidth="1"/>
    <col min="7" max="7" width="12.85546875" customWidth="1"/>
    <col min="8" max="8" width="16" customWidth="1"/>
    <col min="9" max="9" width="16.85546875" customWidth="1"/>
  </cols>
  <sheetData>
    <row r="1" spans="1:27" ht="18" x14ac:dyDescent="0.3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/>
      <c r="K1" s="1"/>
      <c r="L1" s="1"/>
      <c r="S1" s="1"/>
      <c r="T1" s="1"/>
      <c r="U1" s="1"/>
      <c r="V1" s="1"/>
      <c r="W1" s="1"/>
      <c r="X1" s="1"/>
      <c r="Y1" s="3"/>
      <c r="Z1" s="3"/>
      <c r="AA1" s="3"/>
    </row>
    <row r="2" spans="1:27" x14ac:dyDescent="0.25">
      <c r="A2" s="2" t="s">
        <v>3</v>
      </c>
      <c r="B2" s="2">
        <v>1</v>
      </c>
      <c r="C2" s="2" t="s">
        <v>4</v>
      </c>
      <c r="D2" s="4">
        <v>36.51</v>
      </c>
      <c r="E2" s="2">
        <v>0</v>
      </c>
      <c r="F2" s="3">
        <v>34.44</v>
      </c>
      <c r="G2" s="6">
        <f t="shared" ref="G2:G10" si="0">40-D2</f>
        <v>3.490000000000002</v>
      </c>
      <c r="H2" s="4">
        <v>0</v>
      </c>
      <c r="I2" s="6">
        <f>40-F2</f>
        <v>5.5600000000000023</v>
      </c>
      <c r="J2" s="2"/>
      <c r="K2" s="2"/>
      <c r="L2" s="2"/>
      <c r="S2" s="2"/>
      <c r="T2" s="2"/>
      <c r="U2" s="2"/>
      <c r="V2" s="11"/>
      <c r="W2" s="11"/>
      <c r="X2" s="11"/>
      <c r="Y2" s="10"/>
      <c r="Z2" s="10"/>
      <c r="AA2" s="10"/>
    </row>
    <row r="3" spans="1:27" x14ac:dyDescent="0.25">
      <c r="A3" s="2" t="s">
        <v>3</v>
      </c>
      <c r="B3" s="2">
        <v>2</v>
      </c>
      <c r="C3" s="2" t="s">
        <v>4</v>
      </c>
      <c r="D3" s="4">
        <v>32.54</v>
      </c>
      <c r="E3" s="2">
        <v>0</v>
      </c>
      <c r="F3" s="4">
        <v>35.07</v>
      </c>
      <c r="G3" s="6">
        <f t="shared" si="0"/>
        <v>7.4600000000000009</v>
      </c>
      <c r="H3" s="4">
        <v>0</v>
      </c>
      <c r="I3" s="6">
        <f>40-F3</f>
        <v>4.93</v>
      </c>
      <c r="J3" s="2"/>
      <c r="K3" s="2"/>
      <c r="L3" s="2"/>
      <c r="S3" s="2"/>
      <c r="T3" s="2"/>
      <c r="U3" s="2"/>
      <c r="V3" s="5"/>
      <c r="W3" s="5"/>
      <c r="X3" s="5"/>
      <c r="Y3" s="3"/>
      <c r="Z3" s="3"/>
      <c r="AA3" s="3"/>
    </row>
    <row r="4" spans="1:27" x14ac:dyDescent="0.25">
      <c r="A4" s="2" t="s">
        <v>3</v>
      </c>
      <c r="B4" s="2">
        <v>3</v>
      </c>
      <c r="C4" s="2" t="s">
        <v>4</v>
      </c>
      <c r="D4" s="4">
        <v>33.07</v>
      </c>
      <c r="E4" s="2">
        <v>0</v>
      </c>
      <c r="F4" s="4">
        <v>34.020000000000003</v>
      </c>
      <c r="G4" s="6">
        <f t="shared" si="0"/>
        <v>6.93</v>
      </c>
      <c r="H4" s="4">
        <v>0</v>
      </c>
      <c r="I4" s="6">
        <f>40-F4</f>
        <v>5.9799999999999969</v>
      </c>
      <c r="J4" s="2"/>
      <c r="K4" s="2"/>
      <c r="L4" s="2"/>
      <c r="S4" s="2"/>
      <c r="T4" s="2"/>
      <c r="U4" s="2"/>
      <c r="V4" s="4"/>
      <c r="W4" s="4"/>
      <c r="X4" s="4"/>
      <c r="Y4" s="4"/>
      <c r="Z4" s="4"/>
      <c r="AA4" s="4"/>
    </row>
    <row r="5" spans="1:27" x14ac:dyDescent="0.25">
      <c r="A5" s="2" t="s">
        <v>3</v>
      </c>
      <c r="B5" s="2">
        <v>1</v>
      </c>
      <c r="C5" s="2" t="s">
        <v>5</v>
      </c>
      <c r="D5" s="4">
        <v>33.869999999999997</v>
      </c>
      <c r="E5" s="2">
        <v>0</v>
      </c>
      <c r="F5" s="4">
        <v>0</v>
      </c>
      <c r="G5" s="6">
        <f t="shared" si="0"/>
        <v>6.1300000000000026</v>
      </c>
      <c r="H5" s="4">
        <v>0</v>
      </c>
      <c r="I5" s="4">
        <v>0</v>
      </c>
      <c r="J5" s="2"/>
      <c r="K5" s="2"/>
      <c r="L5" s="2"/>
      <c r="S5" s="2"/>
      <c r="T5" s="2"/>
      <c r="U5" s="2"/>
      <c r="V5" s="4"/>
      <c r="W5" s="4"/>
      <c r="X5" s="4"/>
      <c r="Y5" s="4"/>
      <c r="Z5" s="4"/>
      <c r="AA5" s="4"/>
    </row>
    <row r="6" spans="1:27" x14ac:dyDescent="0.25">
      <c r="A6" s="2" t="s">
        <v>3</v>
      </c>
      <c r="B6" s="2">
        <v>2</v>
      </c>
      <c r="C6" s="2" t="s">
        <v>5</v>
      </c>
      <c r="D6" s="4">
        <v>36.08</v>
      </c>
      <c r="E6" s="2">
        <v>0</v>
      </c>
      <c r="F6" s="4">
        <v>38.72</v>
      </c>
      <c r="G6" s="6">
        <f t="shared" si="0"/>
        <v>3.9200000000000017</v>
      </c>
      <c r="H6" s="4">
        <v>0</v>
      </c>
      <c r="I6" s="6">
        <f>40-F6</f>
        <v>1.2800000000000011</v>
      </c>
      <c r="J6" s="2"/>
      <c r="K6" s="2"/>
      <c r="L6" s="2"/>
      <c r="S6" s="2"/>
      <c r="T6" s="2"/>
      <c r="U6" s="2"/>
      <c r="V6" s="4"/>
      <c r="W6" s="4"/>
      <c r="X6" s="4"/>
      <c r="Y6" s="4"/>
      <c r="Z6" s="4"/>
      <c r="AA6" s="4"/>
    </row>
    <row r="7" spans="1:27" x14ac:dyDescent="0.25">
      <c r="A7" s="2" t="s">
        <v>3</v>
      </c>
      <c r="B7" s="2">
        <v>3</v>
      </c>
      <c r="C7" s="2" t="s">
        <v>5</v>
      </c>
      <c r="D7" s="4">
        <v>32.520000000000003</v>
      </c>
      <c r="E7" s="2">
        <v>0</v>
      </c>
      <c r="F7" s="4">
        <v>36.950000000000003</v>
      </c>
      <c r="G7" s="6">
        <f t="shared" si="0"/>
        <v>7.4799999999999969</v>
      </c>
      <c r="H7" s="4">
        <v>0</v>
      </c>
      <c r="I7" s="6">
        <f>40-F7</f>
        <v>3.0499999999999972</v>
      </c>
      <c r="J7" s="2"/>
      <c r="K7" s="2"/>
      <c r="L7" s="2"/>
      <c r="S7" s="2"/>
      <c r="T7" s="2"/>
      <c r="U7" s="2"/>
      <c r="V7" s="4"/>
      <c r="W7" s="4"/>
      <c r="X7" s="4"/>
      <c r="Y7" s="4"/>
      <c r="Z7" s="4"/>
      <c r="AA7" s="4"/>
    </row>
    <row r="8" spans="1:27" x14ac:dyDescent="0.25">
      <c r="A8" s="2" t="s">
        <v>6</v>
      </c>
      <c r="B8" s="2">
        <v>1</v>
      </c>
      <c r="C8" s="2" t="s">
        <v>4</v>
      </c>
      <c r="D8" s="4">
        <v>30.1</v>
      </c>
      <c r="E8" s="2">
        <v>0</v>
      </c>
      <c r="F8" s="4">
        <v>29.18</v>
      </c>
      <c r="G8" s="6">
        <f t="shared" si="0"/>
        <v>9.8999999999999986</v>
      </c>
      <c r="H8" s="4">
        <v>0</v>
      </c>
      <c r="I8" s="6">
        <f>40-F8</f>
        <v>10.82</v>
      </c>
      <c r="J8" s="2"/>
      <c r="K8" s="2"/>
      <c r="L8" s="2"/>
      <c r="S8" s="2"/>
      <c r="T8" s="2"/>
      <c r="U8" s="2"/>
      <c r="V8" s="4"/>
      <c r="W8" s="4"/>
      <c r="X8" s="4"/>
      <c r="Y8" s="4"/>
      <c r="Z8" s="4"/>
      <c r="AA8" s="4"/>
    </row>
    <row r="9" spans="1:27" x14ac:dyDescent="0.25">
      <c r="A9" s="2" t="s">
        <v>6</v>
      </c>
      <c r="B9" s="2">
        <v>2</v>
      </c>
      <c r="C9" s="2" t="s">
        <v>4</v>
      </c>
      <c r="D9" s="4">
        <v>30.17</v>
      </c>
      <c r="E9" s="2">
        <v>0</v>
      </c>
      <c r="F9" s="4">
        <v>29.57</v>
      </c>
      <c r="G9" s="6">
        <f t="shared" si="0"/>
        <v>9.8299999999999983</v>
      </c>
      <c r="H9" s="4">
        <v>0</v>
      </c>
      <c r="I9" s="6">
        <f>40-F9</f>
        <v>10.43</v>
      </c>
      <c r="J9" s="2"/>
      <c r="K9" s="2"/>
      <c r="L9" s="2"/>
      <c r="S9" s="2"/>
      <c r="T9" s="2"/>
      <c r="U9" s="2"/>
      <c r="V9" s="4"/>
      <c r="W9" s="4"/>
      <c r="X9" s="4"/>
      <c r="Y9" s="4"/>
      <c r="Z9" s="4"/>
      <c r="AA9" s="4"/>
    </row>
    <row r="10" spans="1:27" x14ac:dyDescent="0.25">
      <c r="A10" s="2" t="s">
        <v>6</v>
      </c>
      <c r="B10" s="2">
        <v>3</v>
      </c>
      <c r="C10" s="2" t="s">
        <v>4</v>
      </c>
      <c r="D10" s="4">
        <v>28.92</v>
      </c>
      <c r="E10" s="2">
        <v>0</v>
      </c>
      <c r="F10" s="4">
        <v>27.88</v>
      </c>
      <c r="G10" s="6">
        <f t="shared" si="0"/>
        <v>11.079999999999998</v>
      </c>
      <c r="H10" s="4">
        <v>0</v>
      </c>
      <c r="I10" s="6">
        <f>40-F10</f>
        <v>12.120000000000001</v>
      </c>
      <c r="J10" s="2"/>
      <c r="K10" s="2"/>
      <c r="L10" s="2"/>
      <c r="S10" s="2"/>
      <c r="T10" s="2"/>
      <c r="U10" s="2"/>
      <c r="V10" s="4"/>
      <c r="W10" s="4"/>
      <c r="X10" s="4"/>
      <c r="Y10" s="4"/>
      <c r="Z10" s="4"/>
      <c r="AA10" s="4"/>
    </row>
    <row r="11" spans="1:27" x14ac:dyDescent="0.25">
      <c r="A11" s="2" t="s">
        <v>6</v>
      </c>
      <c r="B11" s="2">
        <v>1</v>
      </c>
      <c r="C11" s="2" t="s">
        <v>5</v>
      </c>
      <c r="D11" s="4">
        <v>0</v>
      </c>
      <c r="E11" s="2">
        <v>0</v>
      </c>
      <c r="F11" s="4">
        <v>0</v>
      </c>
      <c r="G11" s="4">
        <v>0</v>
      </c>
      <c r="H11" s="4">
        <v>0</v>
      </c>
      <c r="I11" s="4">
        <v>0</v>
      </c>
      <c r="J11" s="2"/>
      <c r="K11" s="2"/>
      <c r="L11" s="2"/>
      <c r="S11" s="2"/>
      <c r="T11" s="2"/>
      <c r="U11" s="2"/>
      <c r="V11" s="4"/>
      <c r="W11" s="4"/>
      <c r="X11" s="4"/>
      <c r="Y11" s="4"/>
      <c r="Z11" s="4"/>
      <c r="AA11" s="4"/>
    </row>
    <row r="12" spans="1:27" x14ac:dyDescent="0.25">
      <c r="A12" s="2" t="s">
        <v>6</v>
      </c>
      <c r="B12" s="2">
        <v>2</v>
      </c>
      <c r="C12" s="2" t="s">
        <v>5</v>
      </c>
      <c r="D12" s="4">
        <v>0</v>
      </c>
      <c r="E12" s="2">
        <v>0</v>
      </c>
      <c r="F12" s="4">
        <v>0</v>
      </c>
      <c r="G12" s="4">
        <v>0</v>
      </c>
      <c r="H12" s="4">
        <v>0</v>
      </c>
      <c r="I12" s="4">
        <v>0</v>
      </c>
      <c r="J12" s="2"/>
      <c r="K12" s="2"/>
      <c r="L12" s="2"/>
      <c r="S12" s="2"/>
      <c r="T12" s="2"/>
      <c r="U12" s="2"/>
    </row>
    <row r="13" spans="1:27" x14ac:dyDescent="0.25">
      <c r="A13" s="2" t="s">
        <v>6</v>
      </c>
      <c r="B13" s="2">
        <v>3</v>
      </c>
      <c r="C13" s="2" t="s">
        <v>5</v>
      </c>
      <c r="D13" s="4">
        <v>0</v>
      </c>
      <c r="E13" s="2">
        <v>0</v>
      </c>
      <c r="F13" s="4">
        <v>0</v>
      </c>
      <c r="G13" s="4">
        <v>0</v>
      </c>
      <c r="H13" s="4">
        <v>0</v>
      </c>
      <c r="I13" s="4">
        <v>0</v>
      </c>
      <c r="J13" s="2"/>
      <c r="K13" s="2"/>
      <c r="L13" s="2"/>
      <c r="S13" s="2"/>
      <c r="T13" s="2"/>
      <c r="U13" s="2"/>
    </row>
    <row r="14" spans="1:27" x14ac:dyDescent="0.25">
      <c r="A14" s="2" t="s">
        <v>7</v>
      </c>
      <c r="B14" s="2">
        <v>1</v>
      </c>
      <c r="C14" s="2" t="s">
        <v>4</v>
      </c>
      <c r="D14" s="4">
        <v>29.11</v>
      </c>
      <c r="E14" s="2">
        <v>36.1</v>
      </c>
      <c r="F14" s="4">
        <v>29.74</v>
      </c>
      <c r="G14" s="6">
        <f>40-D14</f>
        <v>10.89</v>
      </c>
      <c r="H14" s="6">
        <f>40-E14</f>
        <v>3.8999999999999986</v>
      </c>
      <c r="I14" s="6">
        <f>40-F14</f>
        <v>10.260000000000002</v>
      </c>
      <c r="J14" s="2"/>
      <c r="K14" s="2"/>
      <c r="L14" s="2"/>
      <c r="S14" s="2"/>
      <c r="T14" s="2"/>
      <c r="U14" s="2"/>
      <c r="V14" s="2"/>
      <c r="W14" s="2"/>
      <c r="X14" s="2"/>
      <c r="Y14" s="2"/>
      <c r="Z14" s="2"/>
    </row>
    <row r="15" spans="1:27" x14ac:dyDescent="0.25">
      <c r="A15" s="2" t="s">
        <v>7</v>
      </c>
      <c r="B15" s="2">
        <v>2</v>
      </c>
      <c r="C15" s="2" t="s">
        <v>4</v>
      </c>
      <c r="D15" s="4">
        <v>29.51</v>
      </c>
      <c r="E15" s="2">
        <v>0</v>
      </c>
      <c r="F15" s="4">
        <v>30.11</v>
      </c>
      <c r="G15" s="6">
        <f>40-D15</f>
        <v>10.489999999999998</v>
      </c>
      <c r="H15" s="4">
        <v>0</v>
      </c>
      <c r="I15" s="6">
        <f>40-F15</f>
        <v>9.89</v>
      </c>
      <c r="J15" s="2"/>
      <c r="K15" s="2"/>
      <c r="L15" s="2"/>
      <c r="S15" s="2"/>
      <c r="T15" s="2"/>
      <c r="U15" s="2"/>
      <c r="V15" s="2"/>
      <c r="W15" s="2"/>
      <c r="X15" s="2"/>
      <c r="Y15" s="2"/>
      <c r="Z15" s="2"/>
    </row>
    <row r="16" spans="1:27" x14ac:dyDescent="0.25">
      <c r="A16" s="2" t="s">
        <v>7</v>
      </c>
      <c r="B16" s="2">
        <v>3</v>
      </c>
      <c r="C16" s="2" t="s">
        <v>4</v>
      </c>
      <c r="D16" s="4">
        <v>30.52</v>
      </c>
      <c r="E16" s="2">
        <v>0</v>
      </c>
      <c r="F16" s="4">
        <v>31.13</v>
      </c>
      <c r="G16" s="6">
        <f>40-D16</f>
        <v>9.48</v>
      </c>
      <c r="H16" s="4">
        <v>0</v>
      </c>
      <c r="I16" s="6">
        <f>40-F16</f>
        <v>8.870000000000001</v>
      </c>
      <c r="J16" s="2"/>
      <c r="K16" s="2"/>
      <c r="L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7</v>
      </c>
      <c r="B17" s="2">
        <v>1</v>
      </c>
      <c r="C17" s="2" t="s">
        <v>5</v>
      </c>
      <c r="D17" s="4">
        <v>0</v>
      </c>
      <c r="E17" s="2">
        <v>0</v>
      </c>
      <c r="F17" s="4">
        <v>0</v>
      </c>
      <c r="G17" s="4">
        <v>0</v>
      </c>
      <c r="H17" s="4">
        <v>0</v>
      </c>
      <c r="I17" s="4">
        <v>0</v>
      </c>
      <c r="J17" s="2"/>
      <c r="K17" s="2"/>
      <c r="L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7</v>
      </c>
      <c r="B18" s="2">
        <v>2</v>
      </c>
      <c r="C18" s="2" t="s">
        <v>5</v>
      </c>
      <c r="D18" s="4">
        <v>36.909999999999997</v>
      </c>
      <c r="E18" s="2">
        <v>0</v>
      </c>
      <c r="F18" s="4">
        <v>35.590000000000003</v>
      </c>
      <c r="G18" s="6">
        <f>40-D18</f>
        <v>3.0900000000000034</v>
      </c>
      <c r="H18" s="4">
        <v>0</v>
      </c>
      <c r="I18" s="6">
        <f>40-F18</f>
        <v>4.4099999999999966</v>
      </c>
      <c r="J18" s="2"/>
      <c r="K18" s="2"/>
      <c r="L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 t="s">
        <v>7</v>
      </c>
      <c r="B19" s="2">
        <v>3</v>
      </c>
      <c r="C19" s="2" t="s">
        <v>5</v>
      </c>
      <c r="D19" s="4">
        <v>0</v>
      </c>
      <c r="E19" s="2">
        <v>0</v>
      </c>
      <c r="F19" s="4">
        <v>34.880000000000003</v>
      </c>
      <c r="G19" s="4">
        <v>0</v>
      </c>
      <c r="H19" s="4">
        <v>0</v>
      </c>
      <c r="I19" s="6">
        <f>40-F19</f>
        <v>5.1199999999999974</v>
      </c>
      <c r="J19" s="2"/>
      <c r="K19" s="2"/>
      <c r="L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 t="s">
        <v>8</v>
      </c>
      <c r="B20" s="2">
        <v>1</v>
      </c>
      <c r="C20" s="2" t="s">
        <v>4</v>
      </c>
      <c r="D20" s="4">
        <v>30.51</v>
      </c>
      <c r="E20" s="2">
        <v>0</v>
      </c>
      <c r="F20" s="4">
        <v>29.88</v>
      </c>
      <c r="G20" s="6">
        <f>40-D20</f>
        <v>9.4899999999999984</v>
      </c>
      <c r="H20" s="4">
        <v>0</v>
      </c>
      <c r="I20" s="6">
        <f>40-F20</f>
        <v>10.120000000000001</v>
      </c>
      <c r="J20" s="2"/>
      <c r="K20" s="2"/>
      <c r="L20" s="2"/>
      <c r="S20" s="2"/>
      <c r="T20" s="2"/>
      <c r="U20" s="10"/>
      <c r="V20" s="10"/>
      <c r="W20" s="10"/>
      <c r="X20" s="10"/>
      <c r="Y20" s="10"/>
      <c r="Z20" s="10"/>
    </row>
    <row r="21" spans="1:26" x14ac:dyDescent="0.25">
      <c r="A21" s="2" t="s">
        <v>8</v>
      </c>
      <c r="B21" s="2">
        <v>2</v>
      </c>
      <c r="C21" s="2" t="s">
        <v>4</v>
      </c>
      <c r="D21" s="4">
        <v>32.92</v>
      </c>
      <c r="E21" s="2">
        <v>0</v>
      </c>
      <c r="F21" s="4">
        <v>38.36</v>
      </c>
      <c r="G21" s="6">
        <f>40-D21</f>
        <v>7.0799999999999983</v>
      </c>
      <c r="H21" s="4">
        <v>0</v>
      </c>
      <c r="I21" s="6">
        <f>40-F21</f>
        <v>1.6400000000000006</v>
      </c>
      <c r="J21" s="2"/>
      <c r="K21" s="2"/>
      <c r="L21" s="2"/>
      <c r="S21" s="2"/>
      <c r="T21" s="2"/>
      <c r="U21" s="2"/>
      <c r="V21" s="3"/>
      <c r="W21" s="3"/>
      <c r="X21" s="3"/>
      <c r="Y21" s="3"/>
      <c r="Z21" s="3"/>
    </row>
    <row r="22" spans="1:26" x14ac:dyDescent="0.25">
      <c r="A22" s="2" t="s">
        <v>8</v>
      </c>
      <c r="B22" s="2">
        <v>3</v>
      </c>
      <c r="C22" s="2" t="s">
        <v>4</v>
      </c>
      <c r="D22" s="4">
        <v>35.659999999999997</v>
      </c>
      <c r="E22" s="2">
        <v>0</v>
      </c>
      <c r="F22" s="4">
        <v>35.74</v>
      </c>
      <c r="G22" s="6">
        <f>40-D22</f>
        <v>4.3400000000000034</v>
      </c>
      <c r="H22" s="4">
        <v>0</v>
      </c>
      <c r="I22" s="6">
        <f>40-F22</f>
        <v>4.259999999999998</v>
      </c>
      <c r="J22" s="2"/>
      <c r="K22" s="2"/>
      <c r="L22" s="2"/>
      <c r="S22" s="2"/>
      <c r="T22" s="2"/>
      <c r="U22" s="2"/>
      <c r="V22" s="4"/>
      <c r="W22" s="4"/>
      <c r="X22" s="4"/>
      <c r="Y22" s="4"/>
      <c r="Z22" s="4"/>
    </row>
    <row r="23" spans="1:26" x14ac:dyDescent="0.25">
      <c r="A23" s="2" t="s">
        <v>8</v>
      </c>
      <c r="B23" s="2">
        <v>1</v>
      </c>
      <c r="C23" s="2" t="s">
        <v>5</v>
      </c>
      <c r="D23" s="4">
        <v>0</v>
      </c>
      <c r="E23" s="2">
        <v>0</v>
      </c>
      <c r="F23" s="4">
        <v>0</v>
      </c>
      <c r="G23" s="4">
        <v>0</v>
      </c>
      <c r="H23" s="4">
        <v>0</v>
      </c>
      <c r="I23" s="4">
        <v>0</v>
      </c>
      <c r="J23" s="2"/>
      <c r="K23" s="2"/>
      <c r="L23" s="2"/>
      <c r="S23" s="2"/>
      <c r="T23" s="2"/>
      <c r="U23" s="2"/>
      <c r="V23" s="4"/>
      <c r="W23" s="4"/>
      <c r="X23" s="4"/>
      <c r="Y23" s="4"/>
      <c r="Z23" s="4"/>
    </row>
    <row r="24" spans="1:26" x14ac:dyDescent="0.25">
      <c r="A24" s="2" t="s">
        <v>8</v>
      </c>
      <c r="B24" s="2">
        <v>2</v>
      </c>
      <c r="C24" s="2" t="s">
        <v>5</v>
      </c>
      <c r="D24" s="4">
        <v>36.24</v>
      </c>
      <c r="E24" s="2">
        <v>0</v>
      </c>
      <c r="F24" s="4">
        <v>34.36</v>
      </c>
      <c r="G24" s="6">
        <f>40-D24</f>
        <v>3.759999999999998</v>
      </c>
      <c r="H24" s="4">
        <v>0</v>
      </c>
      <c r="I24" s="6">
        <f>40-F24</f>
        <v>5.6400000000000006</v>
      </c>
      <c r="J24" s="2"/>
      <c r="K24" s="2"/>
      <c r="L24" s="2"/>
      <c r="S24" s="2"/>
      <c r="T24" s="2"/>
      <c r="U24" s="2"/>
      <c r="V24" s="4"/>
      <c r="W24" s="4"/>
      <c r="X24" s="4"/>
      <c r="Y24" s="4"/>
      <c r="Z24" s="4"/>
    </row>
    <row r="25" spans="1:26" x14ac:dyDescent="0.25">
      <c r="A25" s="2" t="s">
        <v>8</v>
      </c>
      <c r="B25" s="2">
        <v>3</v>
      </c>
      <c r="C25" s="2" t="s">
        <v>5</v>
      </c>
      <c r="D25" s="4">
        <v>0</v>
      </c>
      <c r="E25" s="2">
        <v>0</v>
      </c>
      <c r="F25" s="4">
        <v>36.619999999999997</v>
      </c>
      <c r="G25" s="4">
        <v>0</v>
      </c>
      <c r="H25" s="4">
        <v>0</v>
      </c>
      <c r="I25" s="6">
        <f>40-F25</f>
        <v>3.3800000000000026</v>
      </c>
      <c r="J25" s="2"/>
      <c r="K25" s="2"/>
      <c r="L25" s="2"/>
      <c r="S25" s="2"/>
      <c r="T25" s="2"/>
      <c r="U25" s="2"/>
      <c r="V25" s="4"/>
      <c r="W25" s="4"/>
      <c r="X25" s="4"/>
      <c r="Y25" s="4"/>
      <c r="Z25" s="4"/>
    </row>
    <row r="26" spans="1:26" x14ac:dyDescent="0.25">
      <c r="A26" s="2" t="s">
        <v>9</v>
      </c>
      <c r="B26" s="2">
        <v>1</v>
      </c>
      <c r="C26" s="2" t="s">
        <v>4</v>
      </c>
      <c r="D26" s="4">
        <v>33.369999999999997</v>
      </c>
      <c r="E26" s="2">
        <v>0</v>
      </c>
      <c r="F26" s="4">
        <v>36.380000000000003</v>
      </c>
      <c r="G26" s="6">
        <f>40-D26</f>
        <v>6.6300000000000026</v>
      </c>
      <c r="H26" s="4">
        <v>0</v>
      </c>
      <c r="I26" s="6">
        <f>40-F26</f>
        <v>3.6199999999999974</v>
      </c>
      <c r="J26" s="2"/>
      <c r="K26" s="2"/>
      <c r="L26" s="2"/>
      <c r="S26" s="2"/>
      <c r="T26" s="2"/>
      <c r="U26" s="2"/>
      <c r="V26" s="4"/>
      <c r="W26" s="4"/>
      <c r="X26" s="4"/>
      <c r="Y26" s="4"/>
      <c r="Z26" s="4"/>
    </row>
    <row r="27" spans="1:26" x14ac:dyDescent="0.25">
      <c r="A27" s="2" t="s">
        <v>9</v>
      </c>
      <c r="B27" s="2">
        <v>2</v>
      </c>
      <c r="C27" s="2" t="s">
        <v>4</v>
      </c>
      <c r="D27" s="4">
        <v>30.96</v>
      </c>
      <c r="E27" s="2">
        <v>0</v>
      </c>
      <c r="F27" s="4">
        <v>35.5</v>
      </c>
      <c r="G27" s="6">
        <f>40-D27</f>
        <v>9.0399999999999991</v>
      </c>
      <c r="H27" s="4">
        <v>0</v>
      </c>
      <c r="I27" s="6">
        <f>40-F27</f>
        <v>4.5</v>
      </c>
      <c r="J27" s="2"/>
      <c r="K27" s="2"/>
      <c r="L27" s="2"/>
      <c r="S27" s="2"/>
      <c r="T27" s="2"/>
      <c r="U27" s="2"/>
      <c r="V27" s="4"/>
      <c r="W27" s="4"/>
      <c r="X27" s="4"/>
      <c r="Y27" s="4"/>
      <c r="Z27" s="4"/>
    </row>
    <row r="28" spans="1:26" x14ac:dyDescent="0.25">
      <c r="A28" s="2" t="s">
        <v>9</v>
      </c>
      <c r="B28" s="2">
        <v>3</v>
      </c>
      <c r="C28" s="2" t="s">
        <v>4</v>
      </c>
      <c r="D28" s="4">
        <v>33.07</v>
      </c>
      <c r="E28" s="2">
        <v>0</v>
      </c>
      <c r="F28" s="4">
        <v>38.29</v>
      </c>
      <c r="G28" s="6">
        <f>40-D28</f>
        <v>6.93</v>
      </c>
      <c r="H28" s="4">
        <v>0</v>
      </c>
      <c r="I28" s="6">
        <f>40-F28</f>
        <v>1.7100000000000009</v>
      </c>
      <c r="J28" s="2"/>
      <c r="K28" s="2"/>
      <c r="L28" s="2"/>
      <c r="S28" s="2"/>
      <c r="T28" s="2"/>
      <c r="U28" s="2"/>
    </row>
    <row r="29" spans="1:26" x14ac:dyDescent="0.25">
      <c r="A29" s="2" t="s">
        <v>9</v>
      </c>
      <c r="B29" s="2">
        <v>1</v>
      </c>
      <c r="C29" s="2" t="s">
        <v>5</v>
      </c>
      <c r="D29" s="4">
        <v>0</v>
      </c>
      <c r="E29" s="2">
        <v>0</v>
      </c>
      <c r="F29" s="4">
        <v>0</v>
      </c>
      <c r="G29" s="4">
        <v>0</v>
      </c>
      <c r="H29" s="4">
        <v>0</v>
      </c>
      <c r="I29" s="4">
        <v>0</v>
      </c>
      <c r="J29" s="2"/>
      <c r="K29" s="2"/>
      <c r="L29" s="2"/>
      <c r="S29" s="2"/>
      <c r="T29" s="2"/>
      <c r="U29" s="2"/>
      <c r="V29" s="4"/>
      <c r="W29" s="4"/>
      <c r="X29" s="4"/>
      <c r="Y29" s="4"/>
      <c r="Z29" s="4"/>
    </row>
    <row r="30" spans="1:26" x14ac:dyDescent="0.25">
      <c r="A30" s="2" t="s">
        <v>9</v>
      </c>
      <c r="B30" s="2">
        <v>2</v>
      </c>
      <c r="C30" s="2" t="s">
        <v>5</v>
      </c>
      <c r="D30" s="4">
        <v>0</v>
      </c>
      <c r="E30" s="2">
        <v>0</v>
      </c>
      <c r="F30" s="4">
        <v>0</v>
      </c>
      <c r="G30" s="4">
        <v>0</v>
      </c>
      <c r="H30" s="4">
        <v>0</v>
      </c>
      <c r="I30" s="4">
        <v>0</v>
      </c>
      <c r="J30" s="2"/>
      <c r="K30" s="2"/>
      <c r="L30" s="2"/>
      <c r="S30" s="2"/>
      <c r="T30" s="2"/>
      <c r="U30" s="2"/>
      <c r="V30" s="4"/>
      <c r="W30" s="4"/>
      <c r="X30" s="4"/>
      <c r="Y30" s="4"/>
      <c r="Z30" s="4"/>
    </row>
    <row r="31" spans="1:26" x14ac:dyDescent="0.25">
      <c r="A31" s="2" t="s">
        <v>9</v>
      </c>
      <c r="B31" s="2">
        <v>3</v>
      </c>
      <c r="C31" s="2" t="s">
        <v>5</v>
      </c>
      <c r="D31" s="4">
        <v>0</v>
      </c>
      <c r="E31" s="2">
        <v>0</v>
      </c>
      <c r="F31" s="4">
        <v>0</v>
      </c>
      <c r="G31" s="4">
        <v>0</v>
      </c>
      <c r="H31" s="4">
        <v>0</v>
      </c>
      <c r="I31" s="4">
        <v>0</v>
      </c>
      <c r="J31" s="2"/>
      <c r="K31" s="2"/>
      <c r="L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 t="s">
        <v>10</v>
      </c>
      <c r="B32" s="2">
        <v>1</v>
      </c>
      <c r="C32" s="2" t="s">
        <v>4</v>
      </c>
      <c r="D32" s="4">
        <v>33.14</v>
      </c>
      <c r="E32" s="2">
        <v>0</v>
      </c>
      <c r="F32" s="4">
        <v>34.93</v>
      </c>
      <c r="G32" s="6">
        <f t="shared" ref="G32:G39" si="1">40-D32</f>
        <v>6.8599999999999994</v>
      </c>
      <c r="H32" s="4">
        <v>0</v>
      </c>
      <c r="I32" s="6">
        <f t="shared" ref="I32:I39" si="2">40-F32</f>
        <v>5.07</v>
      </c>
      <c r="J32" s="2"/>
      <c r="K32" s="2"/>
      <c r="L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 t="s">
        <v>10</v>
      </c>
      <c r="B33" s="2">
        <v>2</v>
      </c>
      <c r="C33" s="2" t="s">
        <v>4</v>
      </c>
      <c r="D33" s="4">
        <v>33.450000000000003</v>
      </c>
      <c r="E33" s="2">
        <v>0</v>
      </c>
      <c r="F33" s="4">
        <v>34.49</v>
      </c>
      <c r="G33" s="6">
        <f t="shared" si="1"/>
        <v>6.5499999999999972</v>
      </c>
      <c r="H33" s="4">
        <v>0</v>
      </c>
      <c r="I33" s="6">
        <f t="shared" si="2"/>
        <v>5.509999999999998</v>
      </c>
      <c r="J33" s="2"/>
      <c r="K33" s="2"/>
      <c r="L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 t="s">
        <v>10</v>
      </c>
      <c r="B34" s="2">
        <v>3</v>
      </c>
      <c r="C34" s="2" t="s">
        <v>4</v>
      </c>
      <c r="D34" s="4">
        <v>28.47</v>
      </c>
      <c r="E34" s="2">
        <v>0</v>
      </c>
      <c r="F34" s="4">
        <v>29.83</v>
      </c>
      <c r="G34" s="6">
        <f t="shared" si="1"/>
        <v>11.530000000000001</v>
      </c>
      <c r="H34" s="4">
        <v>0</v>
      </c>
      <c r="I34" s="6">
        <f t="shared" si="2"/>
        <v>10.170000000000002</v>
      </c>
      <c r="J34" s="2"/>
      <c r="K34" s="2"/>
      <c r="L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 t="s">
        <v>10</v>
      </c>
      <c r="B35" s="2">
        <v>1</v>
      </c>
      <c r="C35" s="2" t="s">
        <v>5</v>
      </c>
      <c r="D35" s="4">
        <v>36.79</v>
      </c>
      <c r="E35" s="2">
        <v>0</v>
      </c>
      <c r="F35" s="4">
        <v>34.99</v>
      </c>
      <c r="G35" s="6">
        <f t="shared" si="1"/>
        <v>3.2100000000000009</v>
      </c>
      <c r="H35" s="4">
        <v>0</v>
      </c>
      <c r="I35" s="6">
        <f t="shared" si="2"/>
        <v>5.009999999999998</v>
      </c>
      <c r="J35" s="2"/>
      <c r="K35" s="2"/>
      <c r="L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 t="s">
        <v>10</v>
      </c>
      <c r="B36" s="2">
        <v>2</v>
      </c>
      <c r="C36" s="2" t="s">
        <v>5</v>
      </c>
      <c r="D36" s="4">
        <v>38.340000000000003</v>
      </c>
      <c r="E36" s="2">
        <v>0</v>
      </c>
      <c r="F36" s="4">
        <v>36.19</v>
      </c>
      <c r="G36" s="6">
        <f t="shared" si="1"/>
        <v>1.6599999999999966</v>
      </c>
      <c r="H36" s="4">
        <v>0</v>
      </c>
      <c r="I36" s="6">
        <f t="shared" si="2"/>
        <v>3.8100000000000023</v>
      </c>
      <c r="J36" s="2"/>
      <c r="K36" s="2"/>
      <c r="L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 t="s">
        <v>10</v>
      </c>
      <c r="B37" s="2">
        <v>3</v>
      </c>
      <c r="C37" s="2" t="s">
        <v>5</v>
      </c>
      <c r="D37" s="4">
        <v>34.520000000000003</v>
      </c>
      <c r="E37" s="2">
        <v>0</v>
      </c>
      <c r="F37" s="4">
        <v>34.619999999999997</v>
      </c>
      <c r="G37" s="6">
        <f t="shared" si="1"/>
        <v>5.4799999999999969</v>
      </c>
      <c r="H37" s="4">
        <v>0</v>
      </c>
      <c r="I37" s="6">
        <f t="shared" si="2"/>
        <v>5.3800000000000026</v>
      </c>
      <c r="J37" s="2"/>
      <c r="K37" s="2"/>
      <c r="L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 t="s">
        <v>11</v>
      </c>
      <c r="B38" s="2">
        <v>1</v>
      </c>
      <c r="C38" s="2" t="s">
        <v>4</v>
      </c>
      <c r="D38" s="4">
        <v>32.93</v>
      </c>
      <c r="E38" s="2">
        <v>0</v>
      </c>
      <c r="F38" s="4">
        <v>30.51</v>
      </c>
      <c r="G38" s="6">
        <f t="shared" si="1"/>
        <v>7.07</v>
      </c>
      <c r="H38" s="4">
        <v>0</v>
      </c>
      <c r="I38" s="6">
        <f t="shared" si="2"/>
        <v>9.4899999999999984</v>
      </c>
      <c r="J38" s="2"/>
      <c r="K38" s="2"/>
      <c r="L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 t="s">
        <v>11</v>
      </c>
      <c r="B39" s="2">
        <v>2</v>
      </c>
      <c r="C39" s="2" t="s">
        <v>4</v>
      </c>
      <c r="D39" s="4">
        <v>28.75</v>
      </c>
      <c r="E39" s="2">
        <v>0</v>
      </c>
      <c r="F39" s="4">
        <v>35.57</v>
      </c>
      <c r="G39" s="6">
        <f t="shared" si="1"/>
        <v>11.25</v>
      </c>
      <c r="H39" s="4">
        <v>0</v>
      </c>
      <c r="I39" s="6">
        <f t="shared" si="2"/>
        <v>4.43</v>
      </c>
      <c r="J39" s="2"/>
      <c r="K39" s="2"/>
      <c r="L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 t="s">
        <v>11</v>
      </c>
      <c r="B40" s="2">
        <v>3</v>
      </c>
      <c r="C40" s="2" t="s">
        <v>4</v>
      </c>
      <c r="D40" s="4">
        <v>0</v>
      </c>
      <c r="E40" s="2">
        <v>0</v>
      </c>
      <c r="F40" s="4">
        <v>0</v>
      </c>
      <c r="G40" s="4">
        <v>0</v>
      </c>
      <c r="H40" s="4">
        <v>0</v>
      </c>
      <c r="I40" s="4">
        <v>0</v>
      </c>
      <c r="J40" s="2"/>
      <c r="K40" s="2"/>
      <c r="L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 t="s">
        <v>11</v>
      </c>
      <c r="B41" s="2">
        <v>1</v>
      </c>
      <c r="C41" s="2" t="s">
        <v>5</v>
      </c>
      <c r="D41" s="4">
        <v>0</v>
      </c>
      <c r="E41" s="2">
        <v>0</v>
      </c>
      <c r="F41" s="4">
        <v>38.44</v>
      </c>
      <c r="G41" s="4">
        <v>0</v>
      </c>
      <c r="H41" s="4">
        <v>0</v>
      </c>
      <c r="I41" s="6">
        <f>40-F41</f>
        <v>1.5600000000000023</v>
      </c>
      <c r="J41" s="2"/>
      <c r="K41" s="2"/>
      <c r="L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 t="s">
        <v>11</v>
      </c>
      <c r="B42" s="2">
        <v>2</v>
      </c>
      <c r="C42" s="2" t="s">
        <v>5</v>
      </c>
      <c r="D42" s="4">
        <v>0</v>
      </c>
      <c r="E42" s="2">
        <v>0</v>
      </c>
      <c r="F42" s="4">
        <v>37.549999999999997</v>
      </c>
      <c r="G42" s="4">
        <v>0</v>
      </c>
      <c r="H42" s="4">
        <v>0</v>
      </c>
      <c r="I42" s="6">
        <f>40-F42</f>
        <v>2.4500000000000028</v>
      </c>
      <c r="J42" s="2"/>
      <c r="K42" s="2"/>
      <c r="L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 t="s">
        <v>11</v>
      </c>
      <c r="B43" s="2">
        <v>3</v>
      </c>
      <c r="C43" s="2" t="s">
        <v>5</v>
      </c>
      <c r="D43" s="4">
        <v>35.93</v>
      </c>
      <c r="E43" s="2">
        <v>0</v>
      </c>
      <c r="F43" s="4">
        <v>35.42</v>
      </c>
      <c r="G43" s="6">
        <f>40-D43</f>
        <v>4.07</v>
      </c>
      <c r="H43" s="4">
        <v>0</v>
      </c>
      <c r="I43" s="6">
        <f>40-F43</f>
        <v>4.5799999999999983</v>
      </c>
      <c r="J43" s="2"/>
      <c r="K43" s="2"/>
      <c r="L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 t="s">
        <v>12</v>
      </c>
      <c r="B44" s="2">
        <v>1</v>
      </c>
      <c r="C44" s="2" t="s">
        <v>4</v>
      </c>
      <c r="D44" s="4">
        <v>32.72</v>
      </c>
      <c r="E44" s="2">
        <v>0</v>
      </c>
      <c r="F44" s="4">
        <v>31.1</v>
      </c>
      <c r="G44" s="6">
        <f>40-D44</f>
        <v>7.2800000000000011</v>
      </c>
      <c r="H44" s="4">
        <v>0</v>
      </c>
      <c r="I44" s="6">
        <f>40-F44</f>
        <v>8.8999999999999986</v>
      </c>
      <c r="J44" s="2"/>
      <c r="K44" s="2"/>
      <c r="L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 t="s">
        <v>12</v>
      </c>
      <c r="B45" s="2">
        <v>2</v>
      </c>
      <c r="C45" s="2" t="s">
        <v>4</v>
      </c>
      <c r="D45" s="4">
        <v>34.909999999999997</v>
      </c>
      <c r="E45" s="2">
        <v>0</v>
      </c>
      <c r="F45" s="4">
        <v>0</v>
      </c>
      <c r="G45" s="6">
        <f>40-D45</f>
        <v>5.0900000000000034</v>
      </c>
      <c r="H45" s="4">
        <v>0</v>
      </c>
      <c r="I45" s="4">
        <v>0</v>
      </c>
      <c r="J45" s="2"/>
      <c r="K45" s="2"/>
      <c r="L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 t="s">
        <v>12</v>
      </c>
      <c r="B46" s="2">
        <v>3</v>
      </c>
      <c r="C46" s="2" t="s">
        <v>4</v>
      </c>
      <c r="D46" s="4">
        <v>32.46</v>
      </c>
      <c r="E46" s="2">
        <v>0</v>
      </c>
      <c r="F46" s="4">
        <v>33.76</v>
      </c>
      <c r="G46" s="6">
        <f>40-D46</f>
        <v>7.5399999999999991</v>
      </c>
      <c r="H46" s="4">
        <v>0</v>
      </c>
      <c r="I46" s="6">
        <f>40-F46</f>
        <v>6.240000000000002</v>
      </c>
      <c r="J46" s="2"/>
      <c r="K46" s="2"/>
      <c r="L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 t="s">
        <v>12</v>
      </c>
      <c r="B47" s="2">
        <v>1</v>
      </c>
      <c r="C47" s="2" t="s">
        <v>5</v>
      </c>
      <c r="D47" s="4">
        <v>33.74</v>
      </c>
      <c r="E47" s="2">
        <v>0</v>
      </c>
      <c r="F47" s="4">
        <v>31.95</v>
      </c>
      <c r="G47" s="6">
        <f>40-D47</f>
        <v>6.259999999999998</v>
      </c>
      <c r="H47" s="4">
        <v>0</v>
      </c>
      <c r="I47" s="6">
        <f>40-F47</f>
        <v>8.0500000000000007</v>
      </c>
      <c r="J47" s="2"/>
      <c r="K47" s="2"/>
      <c r="L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 t="s">
        <v>12</v>
      </c>
      <c r="B48" s="2">
        <v>2</v>
      </c>
      <c r="C48" s="2" t="s">
        <v>5</v>
      </c>
      <c r="D48" s="4">
        <v>0</v>
      </c>
      <c r="E48" s="2">
        <v>0</v>
      </c>
      <c r="F48" s="4">
        <v>35.630000000000003</v>
      </c>
      <c r="G48" s="4">
        <v>0</v>
      </c>
      <c r="H48" s="4">
        <v>0</v>
      </c>
      <c r="I48" s="6">
        <f>40-F48</f>
        <v>4.3699999999999974</v>
      </c>
      <c r="J48" s="2"/>
      <c r="K48" s="2"/>
      <c r="L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 t="s">
        <v>12</v>
      </c>
      <c r="B49" s="2">
        <v>3</v>
      </c>
      <c r="C49" s="2" t="s">
        <v>5</v>
      </c>
      <c r="D49" s="4">
        <v>38.25</v>
      </c>
      <c r="E49" s="2">
        <v>0</v>
      </c>
      <c r="F49" s="4">
        <v>0</v>
      </c>
      <c r="G49" s="6">
        <f>40-D49</f>
        <v>1.75</v>
      </c>
      <c r="H49" s="4">
        <v>0</v>
      </c>
      <c r="I49" s="4">
        <v>0</v>
      </c>
      <c r="J49" s="2"/>
      <c r="K49" s="2"/>
      <c r="L49" s="2"/>
      <c r="S49" s="2"/>
      <c r="T49" s="2"/>
      <c r="U49" s="2"/>
      <c r="V49" s="2"/>
      <c r="W49" s="2"/>
      <c r="X49" s="2"/>
      <c r="Y49" s="2"/>
      <c r="Z49" s="2"/>
    </row>
  </sheetData>
  <mergeCells count="4">
    <mergeCell ref="U20:W20"/>
    <mergeCell ref="X20:Z20"/>
    <mergeCell ref="V2:X2"/>
    <mergeCell ref="Y2:AA2"/>
  </mergeCells>
  <dataValidations count="3">
    <dataValidation type="list" allowBlank="1" showInputMessage="1" showErrorMessage="1" sqref="A2:A49 S2:S49 J2:J49" xr:uid="{0C2C9A2B-4D34-4BDA-9AC1-90C3DC582871}">
      <formula1>"A,B,C,D,E,F,G,H"</formula1>
    </dataValidation>
    <dataValidation type="list" allowBlank="1" showInputMessage="1" showErrorMessage="1" sqref="B2:B49 T2:T49 K2:K49" xr:uid="{48DEBAB9-296F-4DFA-9B82-FD69BEB3153F}">
      <formula1>"1,2,3"</formula1>
    </dataValidation>
    <dataValidation type="list" allowBlank="1" showInputMessage="1" showErrorMessage="1" sqref="C2:C49 U2:U49 L2:L49" xr:uid="{6181B2F2-EA60-46BB-8237-0AF5BA285E3D}">
      <formula1>"male,female"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86EE-B5A4-407F-A41B-5C8190C82001}">
  <dimension ref="A1:W73"/>
  <sheetViews>
    <sheetView tabSelected="1" zoomScale="70" zoomScaleNormal="70" workbookViewId="0">
      <selection activeCell="N16" sqref="N16"/>
    </sheetView>
  </sheetViews>
  <sheetFormatPr defaultRowHeight="15" x14ac:dyDescent="0.25"/>
  <cols>
    <col min="3" max="3" width="14.7109375" customWidth="1"/>
    <col min="4" max="4" width="15.85546875" customWidth="1"/>
    <col min="5" max="5" width="19.5703125" customWidth="1"/>
    <col min="6" max="6" width="21.85546875" customWidth="1"/>
    <col min="7" max="7" width="20.140625" customWidth="1"/>
    <col min="8" max="8" width="21.5703125" customWidth="1"/>
    <col min="9" max="9" width="21.140625" customWidth="1"/>
  </cols>
  <sheetData>
    <row r="1" spans="1:23" ht="18" x14ac:dyDescent="0.35">
      <c r="A1" s="1" t="s">
        <v>0</v>
      </c>
      <c r="B1" s="1" t="s">
        <v>1</v>
      </c>
      <c r="C1" s="9" t="s">
        <v>13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5.75" x14ac:dyDescent="0.25">
      <c r="A2" s="2" t="s">
        <v>3</v>
      </c>
      <c r="B2" s="2">
        <v>1</v>
      </c>
      <c r="C2" s="2" t="s">
        <v>14</v>
      </c>
      <c r="D2" s="2">
        <v>25.91</v>
      </c>
      <c r="E2" s="7"/>
      <c r="F2" s="7"/>
      <c r="G2" s="2">
        <f>40-D2</f>
        <v>14.09</v>
      </c>
      <c r="H2" s="2"/>
      <c r="I2" s="2"/>
      <c r="M2" s="13"/>
      <c r="N2" s="13"/>
      <c r="O2" s="17"/>
      <c r="P2" s="17"/>
      <c r="Q2" s="17"/>
      <c r="R2" s="17"/>
      <c r="S2" s="14"/>
      <c r="T2" s="17"/>
      <c r="U2" s="17"/>
      <c r="V2" s="17"/>
      <c r="W2" s="17"/>
    </row>
    <row r="3" spans="1:23" ht="15.75" x14ac:dyDescent="0.25">
      <c r="A3" s="2" t="s">
        <v>3</v>
      </c>
      <c r="B3" s="2">
        <v>2</v>
      </c>
      <c r="C3" s="2" t="s">
        <v>14</v>
      </c>
      <c r="D3" s="2">
        <v>28.56</v>
      </c>
      <c r="E3" s="7"/>
      <c r="F3" s="7"/>
      <c r="G3" s="2">
        <f t="shared" ref="G3:G66" si="0">40-D3</f>
        <v>11.440000000000001</v>
      </c>
      <c r="H3" s="2"/>
      <c r="I3" s="2"/>
      <c r="M3" s="7"/>
      <c r="N3" s="7"/>
      <c r="O3" s="17"/>
      <c r="P3" s="18"/>
      <c r="Q3" s="18"/>
      <c r="R3" s="18"/>
      <c r="S3" s="8"/>
      <c r="T3" s="17"/>
      <c r="U3" s="18"/>
      <c r="V3" s="18"/>
      <c r="W3" s="18"/>
    </row>
    <row r="4" spans="1:23" ht="15.75" x14ac:dyDescent="0.25">
      <c r="A4" s="2" t="s">
        <v>3</v>
      </c>
      <c r="B4" s="2">
        <v>3</v>
      </c>
      <c r="C4" s="2" t="s">
        <v>14</v>
      </c>
      <c r="D4" s="2">
        <v>32.54</v>
      </c>
      <c r="E4" s="7"/>
      <c r="F4" s="7"/>
      <c r="G4" s="2">
        <f t="shared" si="0"/>
        <v>7.4600000000000009</v>
      </c>
      <c r="H4" s="2"/>
      <c r="I4" s="2"/>
      <c r="M4" s="7"/>
      <c r="N4" s="7"/>
      <c r="O4" s="17"/>
      <c r="P4" s="18"/>
      <c r="Q4" s="18"/>
      <c r="R4" s="18"/>
      <c r="S4" s="8"/>
      <c r="T4" s="17"/>
      <c r="U4" s="18"/>
      <c r="V4" s="18"/>
      <c r="W4" s="18"/>
    </row>
    <row r="5" spans="1:23" ht="15.75" x14ac:dyDescent="0.25">
      <c r="A5" s="2" t="s">
        <v>3</v>
      </c>
      <c r="B5" s="2">
        <v>1</v>
      </c>
      <c r="C5" s="2" t="s">
        <v>15</v>
      </c>
      <c r="D5" s="2">
        <v>30.72</v>
      </c>
      <c r="E5" s="7"/>
      <c r="F5" s="7"/>
      <c r="G5" s="2">
        <f t="shared" si="0"/>
        <v>9.2800000000000011</v>
      </c>
      <c r="H5" s="2"/>
      <c r="I5" s="2"/>
      <c r="M5" s="7"/>
      <c r="N5" s="7"/>
      <c r="O5" s="17"/>
      <c r="P5" s="18"/>
      <c r="Q5" s="18"/>
      <c r="R5" s="18"/>
      <c r="S5" s="8"/>
      <c r="T5" s="17"/>
      <c r="U5" s="18"/>
      <c r="V5" s="18"/>
      <c r="W5" s="18"/>
    </row>
    <row r="6" spans="1:23" ht="15.75" x14ac:dyDescent="0.25">
      <c r="A6" s="2" t="s">
        <v>3</v>
      </c>
      <c r="B6" s="2">
        <v>2</v>
      </c>
      <c r="C6" s="2" t="s">
        <v>15</v>
      </c>
      <c r="D6" s="2">
        <v>36.630000000000003</v>
      </c>
      <c r="E6" s="7"/>
      <c r="F6" s="7"/>
      <c r="G6" s="2">
        <f t="shared" si="0"/>
        <v>3.3699999999999974</v>
      </c>
      <c r="H6" s="2"/>
      <c r="I6" s="2"/>
      <c r="M6" s="7"/>
      <c r="N6" s="7"/>
      <c r="O6" s="17"/>
      <c r="P6" s="18"/>
      <c r="Q6" s="18"/>
      <c r="R6" s="18"/>
      <c r="S6" s="8"/>
      <c r="T6" s="17"/>
      <c r="U6" s="18"/>
      <c r="V6" s="18"/>
      <c r="W6" s="18"/>
    </row>
    <row r="7" spans="1:23" ht="15.75" x14ac:dyDescent="0.25">
      <c r="A7" s="2" t="s">
        <v>3</v>
      </c>
      <c r="B7" s="2">
        <v>3</v>
      </c>
      <c r="C7" s="2" t="s">
        <v>15</v>
      </c>
      <c r="D7" s="2">
        <v>25.28</v>
      </c>
      <c r="E7" s="7"/>
      <c r="F7" s="7"/>
      <c r="G7" s="2">
        <f t="shared" si="0"/>
        <v>14.719999999999999</v>
      </c>
      <c r="H7" s="2"/>
      <c r="I7" s="2"/>
      <c r="M7" s="7"/>
      <c r="N7" s="7"/>
      <c r="O7" s="17"/>
      <c r="P7" s="18"/>
      <c r="Q7" s="18"/>
      <c r="R7" s="18"/>
      <c r="S7" s="8"/>
      <c r="T7" s="17"/>
      <c r="U7" s="18"/>
      <c r="V7" s="18"/>
      <c r="W7" s="18"/>
    </row>
    <row r="8" spans="1:23" ht="15.75" x14ac:dyDescent="0.25">
      <c r="A8" s="2" t="s">
        <v>3</v>
      </c>
      <c r="B8" s="2">
        <v>1</v>
      </c>
      <c r="C8" s="2" t="s">
        <v>16</v>
      </c>
      <c r="D8" s="2">
        <v>19.2</v>
      </c>
      <c r="E8" s="18">
        <v>0</v>
      </c>
      <c r="F8" s="18">
        <v>19.690000000000001</v>
      </c>
      <c r="G8" s="2">
        <f t="shared" si="0"/>
        <v>20.8</v>
      </c>
      <c r="H8" s="2">
        <v>0</v>
      </c>
      <c r="I8" s="2">
        <f>40-F8</f>
        <v>20.309999999999999</v>
      </c>
      <c r="M8" s="7"/>
      <c r="N8" s="7"/>
      <c r="O8" s="17"/>
      <c r="P8" s="18"/>
      <c r="Q8" s="18"/>
      <c r="R8" s="18"/>
      <c r="S8" s="8"/>
      <c r="T8" s="17"/>
      <c r="U8" s="18"/>
      <c r="V8" s="18"/>
      <c r="W8" s="18"/>
    </row>
    <row r="9" spans="1:23" ht="15.75" x14ac:dyDescent="0.25">
      <c r="A9" s="2" t="s">
        <v>3</v>
      </c>
      <c r="B9" s="2">
        <v>2</v>
      </c>
      <c r="C9" s="2" t="s">
        <v>16</v>
      </c>
      <c r="D9" s="2">
        <v>18.920000000000002</v>
      </c>
      <c r="E9" s="18">
        <v>0</v>
      </c>
      <c r="F9" s="18">
        <v>20.13</v>
      </c>
      <c r="G9" s="2">
        <f t="shared" si="0"/>
        <v>21.08</v>
      </c>
      <c r="H9" s="2">
        <v>0</v>
      </c>
      <c r="I9" s="2">
        <f t="shared" ref="H9:I10" si="1">40-F9</f>
        <v>19.87</v>
      </c>
      <c r="M9" s="7"/>
      <c r="N9" s="7"/>
      <c r="O9" s="17"/>
      <c r="P9" s="18"/>
      <c r="Q9" s="18"/>
      <c r="R9" s="18"/>
      <c r="S9" s="8"/>
      <c r="T9" s="17"/>
      <c r="U9" s="18"/>
      <c r="V9" s="18"/>
      <c r="W9" s="18"/>
    </row>
    <row r="10" spans="1:23" ht="15.75" x14ac:dyDescent="0.25">
      <c r="A10" s="2" t="s">
        <v>3</v>
      </c>
      <c r="B10" s="2">
        <v>3</v>
      </c>
      <c r="C10" s="2" t="s">
        <v>16</v>
      </c>
      <c r="D10" s="2">
        <v>19.809999999999999</v>
      </c>
      <c r="E10" s="18">
        <v>0</v>
      </c>
      <c r="F10" s="18">
        <v>18.77</v>
      </c>
      <c r="G10" s="2">
        <f t="shared" si="0"/>
        <v>20.190000000000001</v>
      </c>
      <c r="H10" s="2">
        <v>0</v>
      </c>
      <c r="I10" s="2">
        <f t="shared" si="1"/>
        <v>21.23</v>
      </c>
      <c r="M10" s="7"/>
      <c r="N10" s="7"/>
      <c r="O10" s="17"/>
      <c r="P10" s="18"/>
      <c r="Q10" s="18"/>
      <c r="R10" s="18"/>
      <c r="S10" s="8"/>
      <c r="T10" s="17"/>
      <c r="U10" s="18"/>
      <c r="V10" s="18"/>
      <c r="W10" s="18"/>
    </row>
    <row r="11" spans="1:23" x14ac:dyDescent="0.25">
      <c r="A11" s="2" t="s">
        <v>6</v>
      </c>
      <c r="B11" s="2">
        <v>1</v>
      </c>
      <c r="C11" s="2" t="s">
        <v>14</v>
      </c>
      <c r="D11" s="2">
        <v>35.049999999999997</v>
      </c>
      <c r="E11" s="7"/>
      <c r="F11" s="7"/>
      <c r="G11" s="2">
        <f t="shared" si="0"/>
        <v>4.9500000000000028</v>
      </c>
      <c r="H11" s="2"/>
      <c r="I11" s="2"/>
      <c r="M11" s="7"/>
      <c r="N11" s="7"/>
      <c r="O11" s="8"/>
      <c r="P11" s="14"/>
      <c r="Q11" s="8"/>
      <c r="R11" s="8"/>
      <c r="S11" s="8"/>
      <c r="T11" s="8"/>
      <c r="U11" s="8"/>
      <c r="V11" s="8"/>
      <c r="W11" s="15"/>
    </row>
    <row r="12" spans="1:23" x14ac:dyDescent="0.25">
      <c r="A12" s="2" t="s">
        <v>6</v>
      </c>
      <c r="B12" s="2">
        <v>2</v>
      </c>
      <c r="C12" s="2" t="s">
        <v>14</v>
      </c>
      <c r="D12" s="2">
        <v>36.11</v>
      </c>
      <c r="E12" s="7"/>
      <c r="F12" s="7"/>
      <c r="G12" s="2">
        <f t="shared" si="0"/>
        <v>3.8900000000000006</v>
      </c>
      <c r="H12" s="2"/>
      <c r="I12" s="2"/>
      <c r="M12" s="12"/>
      <c r="N12" s="12"/>
      <c r="O12" s="15"/>
      <c r="P12" s="16"/>
      <c r="Q12" s="8"/>
      <c r="R12" s="15"/>
      <c r="S12" s="15"/>
      <c r="T12" s="15"/>
      <c r="U12" s="15"/>
      <c r="V12" s="15"/>
      <c r="W12" s="15"/>
    </row>
    <row r="13" spans="1:23" ht="15.75" x14ac:dyDescent="0.25">
      <c r="A13" s="2" t="s">
        <v>6</v>
      </c>
      <c r="B13" s="2">
        <v>3</v>
      </c>
      <c r="C13" s="2" t="s">
        <v>14</v>
      </c>
      <c r="D13" s="2">
        <v>25.37</v>
      </c>
      <c r="E13" s="7"/>
      <c r="F13" s="7"/>
      <c r="G13" s="2">
        <f t="shared" si="0"/>
        <v>14.629999999999999</v>
      </c>
      <c r="H13" s="2"/>
      <c r="I13" s="2"/>
      <c r="M13" s="12"/>
      <c r="N13" s="12"/>
      <c r="O13" s="17"/>
      <c r="P13" s="17"/>
      <c r="Q13" s="17"/>
      <c r="R13" s="17"/>
      <c r="S13" s="17"/>
      <c r="T13" s="17"/>
      <c r="U13" s="17"/>
      <c r="V13" s="17"/>
      <c r="W13" s="17"/>
    </row>
    <row r="14" spans="1:23" ht="15.75" x14ac:dyDescent="0.25">
      <c r="A14" s="2" t="s">
        <v>6</v>
      </c>
      <c r="B14" s="2">
        <v>1</v>
      </c>
      <c r="C14" s="2" t="s">
        <v>15</v>
      </c>
      <c r="D14" s="2">
        <v>30.94</v>
      </c>
      <c r="E14" s="7"/>
      <c r="F14" s="7"/>
      <c r="G14" s="2">
        <f t="shared" si="0"/>
        <v>9.0599999999999987</v>
      </c>
      <c r="H14" s="2"/>
      <c r="I14" s="2"/>
      <c r="M14" s="7"/>
      <c r="N14" s="7"/>
      <c r="O14" s="17"/>
      <c r="P14" s="18"/>
      <c r="Q14" s="18"/>
      <c r="R14" s="18"/>
      <c r="S14" s="18"/>
      <c r="T14" s="18"/>
      <c r="U14" s="18"/>
      <c r="V14" s="18"/>
      <c r="W14" s="18"/>
    </row>
    <row r="15" spans="1:23" ht="15.75" x14ac:dyDescent="0.25">
      <c r="A15" s="2" t="s">
        <v>6</v>
      </c>
      <c r="B15" s="2">
        <v>2</v>
      </c>
      <c r="C15" s="2" t="s">
        <v>15</v>
      </c>
      <c r="D15" s="2">
        <v>30.35</v>
      </c>
      <c r="E15" s="7"/>
      <c r="F15" s="7"/>
      <c r="G15" s="2">
        <f t="shared" si="0"/>
        <v>9.6499999999999986</v>
      </c>
      <c r="H15" s="2"/>
      <c r="I15" s="2"/>
      <c r="M15" s="7"/>
      <c r="N15" s="7"/>
      <c r="O15" s="17"/>
      <c r="P15" s="18"/>
      <c r="Q15" s="18"/>
      <c r="R15" s="18"/>
      <c r="S15" s="18"/>
      <c r="T15" s="18"/>
      <c r="U15" s="18"/>
      <c r="V15" s="18"/>
      <c r="W15" s="18"/>
    </row>
    <row r="16" spans="1:23" ht="15.75" x14ac:dyDescent="0.25">
      <c r="A16" s="2" t="s">
        <v>6</v>
      </c>
      <c r="B16" s="2">
        <v>3</v>
      </c>
      <c r="C16" s="2" t="s">
        <v>15</v>
      </c>
      <c r="D16" s="2">
        <v>28.29</v>
      </c>
      <c r="E16" s="7"/>
      <c r="F16" s="7"/>
      <c r="G16" s="2">
        <f t="shared" si="0"/>
        <v>11.71</v>
      </c>
      <c r="H16" s="2"/>
      <c r="I16" s="2"/>
      <c r="M16" s="7"/>
      <c r="N16" s="7"/>
      <c r="O16" s="17"/>
      <c r="P16" s="18"/>
      <c r="Q16" s="18"/>
      <c r="R16" s="18"/>
      <c r="S16" s="18"/>
      <c r="T16" s="18"/>
      <c r="U16" s="18"/>
      <c r="V16" s="18"/>
      <c r="W16" s="18"/>
    </row>
    <row r="17" spans="1:23" ht="15.75" x14ac:dyDescent="0.25">
      <c r="A17" s="2" t="s">
        <v>6</v>
      </c>
      <c r="B17" s="2">
        <v>1</v>
      </c>
      <c r="C17" s="2" t="s">
        <v>16</v>
      </c>
      <c r="D17" s="2">
        <v>19.079999999999998</v>
      </c>
      <c r="E17" s="18">
        <v>0</v>
      </c>
      <c r="F17" s="18">
        <v>18.87</v>
      </c>
      <c r="G17" s="2">
        <f t="shared" si="0"/>
        <v>20.92</v>
      </c>
      <c r="H17" s="2">
        <v>0</v>
      </c>
      <c r="I17" s="2">
        <f>40-F17</f>
        <v>21.13</v>
      </c>
      <c r="M17" s="7"/>
      <c r="N17" s="7"/>
      <c r="O17" s="8"/>
      <c r="P17" s="8"/>
      <c r="Q17" s="8"/>
      <c r="R17" s="8"/>
      <c r="S17" s="8"/>
      <c r="T17" s="8"/>
      <c r="U17" s="8"/>
      <c r="V17" s="8"/>
      <c r="W17" s="15"/>
    </row>
    <row r="18" spans="1:23" ht="15.75" x14ac:dyDescent="0.25">
      <c r="A18" s="2" t="s">
        <v>6</v>
      </c>
      <c r="B18" s="2">
        <v>2</v>
      </c>
      <c r="C18" s="2" t="s">
        <v>16</v>
      </c>
      <c r="D18" s="2">
        <v>20.67</v>
      </c>
      <c r="E18" s="18">
        <v>0</v>
      </c>
      <c r="F18" s="18">
        <v>21.08</v>
      </c>
      <c r="G18" s="2">
        <f t="shared" si="0"/>
        <v>19.329999999999998</v>
      </c>
      <c r="H18" s="2">
        <v>0</v>
      </c>
      <c r="I18" s="2">
        <f t="shared" ref="H18:I19" si="2">40-F18</f>
        <v>18.920000000000002</v>
      </c>
      <c r="M18" s="7"/>
      <c r="N18" s="7"/>
      <c r="O18" s="8"/>
      <c r="P18" s="8"/>
      <c r="Q18" s="8"/>
      <c r="R18" s="8"/>
      <c r="S18" s="8"/>
      <c r="T18" s="8"/>
      <c r="U18" s="8"/>
      <c r="V18" s="8"/>
      <c r="W18" s="15"/>
    </row>
    <row r="19" spans="1:23" ht="15.75" x14ac:dyDescent="0.25">
      <c r="A19" s="2" t="s">
        <v>6</v>
      </c>
      <c r="B19" s="2">
        <v>3</v>
      </c>
      <c r="C19" s="2" t="s">
        <v>16</v>
      </c>
      <c r="D19" s="2">
        <v>19.12</v>
      </c>
      <c r="E19" s="18">
        <v>0</v>
      </c>
      <c r="F19" s="18">
        <v>30.6</v>
      </c>
      <c r="G19" s="2">
        <f t="shared" si="0"/>
        <v>20.88</v>
      </c>
      <c r="H19" s="2">
        <v>0</v>
      </c>
      <c r="I19" s="2">
        <f t="shared" si="2"/>
        <v>9.3999999999999986</v>
      </c>
      <c r="M19" s="7"/>
      <c r="N19" s="7"/>
      <c r="O19" s="17"/>
      <c r="P19" s="17"/>
      <c r="Q19" s="17"/>
      <c r="R19" s="17"/>
      <c r="S19" s="17"/>
      <c r="T19" s="17"/>
      <c r="U19" s="17"/>
      <c r="V19" s="17"/>
      <c r="W19" s="17"/>
    </row>
    <row r="20" spans="1:23" ht="15.75" x14ac:dyDescent="0.25">
      <c r="A20" s="2" t="s">
        <v>7</v>
      </c>
      <c r="B20" s="2">
        <v>1</v>
      </c>
      <c r="C20" s="2" t="s">
        <v>14</v>
      </c>
      <c r="D20" s="2">
        <v>0</v>
      </c>
      <c r="E20" s="7"/>
      <c r="F20" s="7"/>
      <c r="G20" s="2">
        <v>0</v>
      </c>
      <c r="H20" s="2"/>
      <c r="I20" s="2"/>
      <c r="M20" s="7"/>
      <c r="N20" s="7"/>
      <c r="O20" s="17"/>
      <c r="P20" s="18"/>
      <c r="Q20" s="18"/>
      <c r="R20" s="18"/>
      <c r="S20" s="18"/>
      <c r="T20" s="18"/>
      <c r="U20" s="18"/>
      <c r="V20" s="18"/>
      <c r="W20" s="18"/>
    </row>
    <row r="21" spans="1:23" ht="15.75" x14ac:dyDescent="0.25">
      <c r="A21" s="2" t="s">
        <v>7</v>
      </c>
      <c r="B21" s="2">
        <v>2</v>
      </c>
      <c r="C21" s="2" t="s">
        <v>14</v>
      </c>
      <c r="D21" s="2">
        <v>34.39</v>
      </c>
      <c r="E21" s="7"/>
      <c r="F21" s="7"/>
      <c r="G21" s="2">
        <f t="shared" si="0"/>
        <v>5.6099999999999994</v>
      </c>
      <c r="H21" s="2"/>
      <c r="I21" s="2"/>
      <c r="M21" s="7"/>
      <c r="N21" s="7"/>
      <c r="O21" s="17"/>
      <c r="P21" s="18"/>
      <c r="Q21" s="18"/>
      <c r="R21" s="18"/>
      <c r="S21" s="18"/>
      <c r="T21" s="18"/>
      <c r="U21" s="18"/>
      <c r="V21" s="18"/>
      <c r="W21" s="18"/>
    </row>
    <row r="22" spans="1:23" ht="15.75" x14ac:dyDescent="0.25">
      <c r="A22" s="2" t="s">
        <v>7</v>
      </c>
      <c r="B22" s="2">
        <v>3</v>
      </c>
      <c r="C22" s="2" t="s">
        <v>14</v>
      </c>
      <c r="D22" s="2">
        <v>34.17</v>
      </c>
      <c r="E22" s="7"/>
      <c r="F22" s="7"/>
      <c r="G22" s="2">
        <f t="shared" si="0"/>
        <v>5.8299999999999983</v>
      </c>
      <c r="H22" s="2"/>
      <c r="I22" s="2"/>
      <c r="M22" s="7"/>
      <c r="N22" s="7"/>
      <c r="O22" s="17"/>
      <c r="P22" s="18"/>
      <c r="Q22" s="18"/>
      <c r="R22" s="18"/>
      <c r="S22" s="18"/>
      <c r="T22" s="18"/>
      <c r="U22" s="18"/>
      <c r="V22" s="18"/>
      <c r="W22" s="18"/>
    </row>
    <row r="23" spans="1:23" x14ac:dyDescent="0.25">
      <c r="A23" s="2" t="s">
        <v>7</v>
      </c>
      <c r="B23" s="2">
        <v>1</v>
      </c>
      <c r="C23" s="2" t="s">
        <v>15</v>
      </c>
      <c r="D23" s="2">
        <v>32.1</v>
      </c>
      <c r="E23" s="7"/>
      <c r="F23" s="7"/>
      <c r="G23" s="2">
        <f t="shared" si="0"/>
        <v>7.8999999999999986</v>
      </c>
      <c r="H23" s="2"/>
      <c r="I23" s="2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3" x14ac:dyDescent="0.25">
      <c r="A24" s="2" t="s">
        <v>7</v>
      </c>
      <c r="B24" s="2">
        <v>2</v>
      </c>
      <c r="C24" s="2" t="s">
        <v>15</v>
      </c>
      <c r="D24" s="2">
        <v>31.27</v>
      </c>
      <c r="E24" s="7"/>
      <c r="F24" s="7"/>
      <c r="G24" s="2">
        <f t="shared" si="0"/>
        <v>8.73</v>
      </c>
      <c r="H24" s="2"/>
      <c r="I24" s="2"/>
    </row>
    <row r="25" spans="1:23" x14ac:dyDescent="0.25">
      <c r="A25" s="2" t="s">
        <v>7</v>
      </c>
      <c r="B25" s="2">
        <v>3</v>
      </c>
      <c r="C25" s="2" t="s">
        <v>15</v>
      </c>
      <c r="D25" s="2">
        <v>30.77</v>
      </c>
      <c r="E25" s="7"/>
      <c r="F25" s="7"/>
      <c r="G25" s="2">
        <f t="shared" si="0"/>
        <v>9.23</v>
      </c>
      <c r="H25" s="2"/>
      <c r="I25" s="2"/>
    </row>
    <row r="26" spans="1:23" ht="15.75" x14ac:dyDescent="0.25">
      <c r="A26" s="2" t="s">
        <v>7</v>
      </c>
      <c r="B26" s="2">
        <v>1</v>
      </c>
      <c r="C26" s="2" t="s">
        <v>16</v>
      </c>
      <c r="D26" s="2">
        <v>19.71</v>
      </c>
      <c r="E26" s="18">
        <v>35.92</v>
      </c>
      <c r="F26" s="18">
        <v>24.57</v>
      </c>
      <c r="G26" s="2">
        <f t="shared" si="0"/>
        <v>20.29</v>
      </c>
      <c r="H26" s="2">
        <f>40-E26</f>
        <v>4.0799999999999983</v>
      </c>
      <c r="I26" s="2">
        <f>40-F26</f>
        <v>15.43</v>
      </c>
    </row>
    <row r="27" spans="1:23" ht="15.75" x14ac:dyDescent="0.25">
      <c r="A27" s="2" t="s">
        <v>7</v>
      </c>
      <c r="B27" s="2">
        <v>2</v>
      </c>
      <c r="C27" s="2" t="s">
        <v>16</v>
      </c>
      <c r="D27" s="2">
        <v>20.32</v>
      </c>
      <c r="E27" s="18">
        <v>0</v>
      </c>
      <c r="F27" s="18">
        <v>20.48</v>
      </c>
      <c r="G27" s="2">
        <f t="shared" si="0"/>
        <v>19.68</v>
      </c>
      <c r="H27" s="2">
        <v>0</v>
      </c>
      <c r="I27" s="2">
        <f t="shared" ref="H27:I28" si="3">40-F27</f>
        <v>19.52</v>
      </c>
    </row>
    <row r="28" spans="1:23" ht="15.75" x14ac:dyDescent="0.25">
      <c r="A28" s="2" t="s">
        <v>7</v>
      </c>
      <c r="B28" s="2">
        <v>3</v>
      </c>
      <c r="C28" s="2" t="s">
        <v>16</v>
      </c>
      <c r="D28" s="2">
        <v>21.16</v>
      </c>
      <c r="E28" s="18">
        <v>0</v>
      </c>
      <c r="F28" s="18">
        <v>19.04</v>
      </c>
      <c r="G28" s="2">
        <f t="shared" si="0"/>
        <v>18.84</v>
      </c>
      <c r="H28" s="2">
        <v>0</v>
      </c>
      <c r="I28" s="2">
        <f t="shared" si="3"/>
        <v>20.96</v>
      </c>
    </row>
    <row r="29" spans="1:23" x14ac:dyDescent="0.25">
      <c r="A29" s="2" t="s">
        <v>8</v>
      </c>
      <c r="B29" s="2">
        <v>1</v>
      </c>
      <c r="C29" s="2" t="s">
        <v>14</v>
      </c>
      <c r="D29" s="2">
        <v>31.1</v>
      </c>
      <c r="E29" s="7"/>
      <c r="F29" s="7"/>
      <c r="G29" s="2">
        <f t="shared" si="0"/>
        <v>8.8999999999999986</v>
      </c>
      <c r="H29" s="2"/>
      <c r="I29" s="2"/>
    </row>
    <row r="30" spans="1:23" x14ac:dyDescent="0.25">
      <c r="A30" s="2" t="s">
        <v>8</v>
      </c>
      <c r="B30" s="2">
        <v>2</v>
      </c>
      <c r="C30" s="2" t="s">
        <v>14</v>
      </c>
      <c r="D30" s="2">
        <v>28.36</v>
      </c>
      <c r="E30" s="7"/>
      <c r="F30" s="7"/>
      <c r="G30" s="2">
        <f t="shared" si="0"/>
        <v>11.64</v>
      </c>
      <c r="H30" s="2"/>
      <c r="I30" s="2"/>
    </row>
    <row r="31" spans="1:23" x14ac:dyDescent="0.25">
      <c r="A31" s="2" t="s">
        <v>8</v>
      </c>
      <c r="B31" s="2">
        <v>3</v>
      </c>
      <c r="C31" s="2" t="s">
        <v>14</v>
      </c>
      <c r="D31" s="2">
        <v>0</v>
      </c>
      <c r="E31" s="7"/>
      <c r="F31" s="7"/>
      <c r="G31" s="2">
        <v>0</v>
      </c>
      <c r="H31" s="2"/>
      <c r="I31" s="2"/>
    </row>
    <row r="32" spans="1:23" x14ac:dyDescent="0.25">
      <c r="A32" s="2" t="s">
        <v>8</v>
      </c>
      <c r="B32" s="2">
        <v>1</v>
      </c>
      <c r="C32" s="2" t="s">
        <v>15</v>
      </c>
      <c r="D32" s="2">
        <v>31.4</v>
      </c>
      <c r="E32" s="7"/>
      <c r="F32" s="7"/>
      <c r="G32" s="2">
        <f t="shared" si="0"/>
        <v>8.6000000000000014</v>
      </c>
      <c r="H32" s="2"/>
      <c r="I32" s="2"/>
    </row>
    <row r="33" spans="1:9" x14ac:dyDescent="0.25">
      <c r="A33" s="2" t="s">
        <v>8</v>
      </c>
      <c r="B33" s="2">
        <v>2</v>
      </c>
      <c r="C33" s="2" t="s">
        <v>15</v>
      </c>
      <c r="D33" s="2">
        <v>33.6</v>
      </c>
      <c r="E33" s="7"/>
      <c r="F33" s="7"/>
      <c r="G33" s="2">
        <f t="shared" si="0"/>
        <v>6.3999999999999986</v>
      </c>
      <c r="H33" s="2"/>
      <c r="I33" s="2"/>
    </row>
    <row r="34" spans="1:9" x14ac:dyDescent="0.25">
      <c r="A34" s="2" t="s">
        <v>8</v>
      </c>
      <c r="B34" s="2">
        <v>3</v>
      </c>
      <c r="C34" s="2" t="s">
        <v>15</v>
      </c>
      <c r="D34" s="2">
        <v>33.619999999999997</v>
      </c>
      <c r="E34" s="7"/>
      <c r="F34" s="7"/>
      <c r="G34" s="2">
        <f t="shared" si="0"/>
        <v>6.3800000000000026</v>
      </c>
      <c r="H34" s="2"/>
      <c r="I34" s="2"/>
    </row>
    <row r="35" spans="1:9" ht="15.75" x14ac:dyDescent="0.25">
      <c r="A35" s="2" t="s">
        <v>8</v>
      </c>
      <c r="B35" s="2">
        <v>1</v>
      </c>
      <c r="C35" s="2" t="s">
        <v>16</v>
      </c>
      <c r="D35" s="2">
        <v>21.46</v>
      </c>
      <c r="E35" s="18">
        <v>0</v>
      </c>
      <c r="F35" s="18">
        <v>21.98</v>
      </c>
      <c r="G35" s="2">
        <f t="shared" si="0"/>
        <v>18.54</v>
      </c>
      <c r="H35" s="2">
        <v>0</v>
      </c>
      <c r="I35" s="2">
        <f>40-F35</f>
        <v>18.02</v>
      </c>
    </row>
    <row r="36" spans="1:9" ht="15.75" x14ac:dyDescent="0.25">
      <c r="A36" s="2" t="s">
        <v>8</v>
      </c>
      <c r="B36" s="2">
        <v>2</v>
      </c>
      <c r="C36" s="2" t="s">
        <v>16</v>
      </c>
      <c r="D36" s="2">
        <v>0</v>
      </c>
      <c r="E36" s="18">
        <v>0</v>
      </c>
      <c r="F36" s="18">
        <v>0</v>
      </c>
      <c r="G36" s="2">
        <v>0</v>
      </c>
      <c r="H36" s="2">
        <v>0</v>
      </c>
      <c r="I36" s="2">
        <v>0</v>
      </c>
    </row>
    <row r="37" spans="1:9" ht="15.75" x14ac:dyDescent="0.25">
      <c r="A37" s="2" t="s">
        <v>8</v>
      </c>
      <c r="B37" s="2">
        <v>3</v>
      </c>
      <c r="C37" s="2" t="s">
        <v>16</v>
      </c>
      <c r="D37" s="2">
        <v>0</v>
      </c>
      <c r="E37" s="18">
        <v>0</v>
      </c>
      <c r="F37" s="18">
        <v>0</v>
      </c>
      <c r="G37" s="2">
        <v>0</v>
      </c>
      <c r="H37" s="2">
        <v>0</v>
      </c>
      <c r="I37" s="2">
        <v>0</v>
      </c>
    </row>
    <row r="38" spans="1:9" x14ac:dyDescent="0.25">
      <c r="A38" s="2" t="s">
        <v>9</v>
      </c>
      <c r="B38" s="2">
        <v>1</v>
      </c>
      <c r="C38" s="2" t="s">
        <v>14</v>
      </c>
      <c r="D38" s="2">
        <v>31.4</v>
      </c>
      <c r="E38" s="7"/>
      <c r="F38" s="7"/>
      <c r="G38" s="2">
        <f t="shared" si="0"/>
        <v>8.6000000000000014</v>
      </c>
      <c r="H38" s="2"/>
      <c r="I38" s="2"/>
    </row>
    <row r="39" spans="1:9" x14ac:dyDescent="0.25">
      <c r="A39" s="2" t="s">
        <v>9</v>
      </c>
      <c r="B39" s="2">
        <v>2</v>
      </c>
      <c r="C39" s="2" t="s">
        <v>14</v>
      </c>
      <c r="D39" s="2">
        <v>28.83</v>
      </c>
      <c r="E39" s="7"/>
      <c r="F39" s="7"/>
      <c r="G39" s="2">
        <f t="shared" si="0"/>
        <v>11.170000000000002</v>
      </c>
      <c r="H39" s="2"/>
      <c r="I39" s="2"/>
    </row>
    <row r="40" spans="1:9" x14ac:dyDescent="0.25">
      <c r="A40" s="2" t="s">
        <v>9</v>
      </c>
      <c r="B40" s="2">
        <v>3</v>
      </c>
      <c r="C40" s="2" t="s">
        <v>14</v>
      </c>
      <c r="D40" s="2">
        <v>23.59</v>
      </c>
      <c r="E40" s="7"/>
      <c r="F40" s="7"/>
      <c r="G40" s="2">
        <f t="shared" si="0"/>
        <v>16.41</v>
      </c>
      <c r="H40" s="2"/>
      <c r="I40" s="2"/>
    </row>
    <row r="41" spans="1:9" x14ac:dyDescent="0.25">
      <c r="A41" s="2" t="s">
        <v>9</v>
      </c>
      <c r="B41" s="2">
        <v>1</v>
      </c>
      <c r="C41" s="2" t="s">
        <v>15</v>
      </c>
      <c r="D41" s="2">
        <v>33.299999999999997</v>
      </c>
      <c r="E41" s="7"/>
      <c r="F41" s="7"/>
      <c r="G41" s="2">
        <f t="shared" si="0"/>
        <v>6.7000000000000028</v>
      </c>
      <c r="H41" s="2"/>
      <c r="I41" s="2"/>
    </row>
    <row r="42" spans="1:9" x14ac:dyDescent="0.25">
      <c r="A42" s="2" t="s">
        <v>9</v>
      </c>
      <c r="B42" s="2">
        <v>2</v>
      </c>
      <c r="C42" s="2" t="s">
        <v>15</v>
      </c>
      <c r="D42" s="2">
        <v>29.36</v>
      </c>
      <c r="E42" s="7"/>
      <c r="F42" s="7"/>
      <c r="G42" s="2">
        <f t="shared" si="0"/>
        <v>10.64</v>
      </c>
      <c r="H42" s="2"/>
      <c r="I42" s="2"/>
    </row>
    <row r="43" spans="1:9" x14ac:dyDescent="0.25">
      <c r="A43" s="2" t="s">
        <v>9</v>
      </c>
      <c r="B43" s="2">
        <v>3</v>
      </c>
      <c r="C43" s="2" t="s">
        <v>15</v>
      </c>
      <c r="D43" s="2">
        <v>32.72</v>
      </c>
      <c r="E43" s="7"/>
      <c r="F43" s="7"/>
      <c r="G43" s="2">
        <f t="shared" si="0"/>
        <v>7.2800000000000011</v>
      </c>
      <c r="H43" s="2"/>
      <c r="I43" s="2"/>
    </row>
    <row r="44" spans="1:9" ht="15.75" x14ac:dyDescent="0.25">
      <c r="A44" s="2" t="s">
        <v>9</v>
      </c>
      <c r="B44" s="2">
        <v>1</v>
      </c>
      <c r="C44" s="2" t="s">
        <v>16</v>
      </c>
      <c r="D44" s="2">
        <v>20.059999999999999</v>
      </c>
      <c r="E44" s="18">
        <v>33.92</v>
      </c>
      <c r="F44" s="18">
        <v>20.14</v>
      </c>
      <c r="G44" s="2">
        <f t="shared" si="0"/>
        <v>19.940000000000001</v>
      </c>
      <c r="H44" s="2">
        <f>40-E44</f>
        <v>6.0799999999999983</v>
      </c>
      <c r="I44" s="2">
        <f>40-F44</f>
        <v>19.86</v>
      </c>
    </row>
    <row r="45" spans="1:9" ht="15.75" x14ac:dyDescent="0.25">
      <c r="A45" s="2" t="s">
        <v>9</v>
      </c>
      <c r="B45" s="2">
        <v>2</v>
      </c>
      <c r="C45" s="2" t="s">
        <v>16</v>
      </c>
      <c r="D45" s="2">
        <v>21.39</v>
      </c>
      <c r="E45" s="18">
        <v>0</v>
      </c>
      <c r="F45" s="18">
        <v>19.98</v>
      </c>
      <c r="G45" s="2">
        <f t="shared" si="0"/>
        <v>18.61</v>
      </c>
      <c r="H45" s="2">
        <v>0</v>
      </c>
      <c r="I45" s="2">
        <f t="shared" ref="I45:I46" si="4">40-F45</f>
        <v>20.02</v>
      </c>
    </row>
    <row r="46" spans="1:9" ht="15.75" x14ac:dyDescent="0.25">
      <c r="A46" s="2" t="s">
        <v>9</v>
      </c>
      <c r="B46" s="2">
        <v>3</v>
      </c>
      <c r="C46" s="2" t="s">
        <v>16</v>
      </c>
      <c r="D46" s="2">
        <v>19.73</v>
      </c>
      <c r="E46" s="18">
        <v>0</v>
      </c>
      <c r="F46" s="18">
        <v>20.399999999999999</v>
      </c>
      <c r="G46" s="2">
        <f t="shared" si="0"/>
        <v>20.27</v>
      </c>
      <c r="H46" s="2">
        <v>0</v>
      </c>
      <c r="I46" s="2">
        <f t="shared" si="4"/>
        <v>19.600000000000001</v>
      </c>
    </row>
    <row r="47" spans="1:9" x14ac:dyDescent="0.25">
      <c r="A47" s="2" t="s">
        <v>10</v>
      </c>
      <c r="B47" s="2">
        <v>1</v>
      </c>
      <c r="C47" s="2" t="s">
        <v>14</v>
      </c>
      <c r="D47" s="2">
        <v>0</v>
      </c>
      <c r="E47" s="7"/>
      <c r="F47" s="7"/>
      <c r="G47" s="2">
        <v>0</v>
      </c>
      <c r="H47" s="2"/>
      <c r="I47" s="2"/>
    </row>
    <row r="48" spans="1:9" x14ac:dyDescent="0.25">
      <c r="A48" s="2" t="s">
        <v>10</v>
      </c>
      <c r="B48" s="2">
        <v>2</v>
      </c>
      <c r="C48" s="2" t="s">
        <v>14</v>
      </c>
      <c r="D48" s="2">
        <v>38.630000000000003</v>
      </c>
      <c r="E48" s="7"/>
      <c r="F48" s="7"/>
      <c r="G48" s="2">
        <f t="shared" si="0"/>
        <v>1.3699999999999974</v>
      </c>
      <c r="H48" s="2"/>
      <c r="I48" s="2"/>
    </row>
    <row r="49" spans="1:9" x14ac:dyDescent="0.25">
      <c r="A49" s="2" t="s">
        <v>10</v>
      </c>
      <c r="B49" s="2">
        <v>3</v>
      </c>
      <c r="C49" s="2" t="s">
        <v>14</v>
      </c>
      <c r="D49" s="2">
        <v>24.63</v>
      </c>
      <c r="E49" s="7"/>
      <c r="F49" s="7"/>
      <c r="G49" s="2">
        <f t="shared" si="0"/>
        <v>15.370000000000001</v>
      </c>
      <c r="H49" s="2"/>
      <c r="I49" s="2"/>
    </row>
    <row r="50" spans="1:9" x14ac:dyDescent="0.25">
      <c r="A50" s="2" t="s">
        <v>10</v>
      </c>
      <c r="B50" s="2">
        <v>1</v>
      </c>
      <c r="C50" s="2" t="s">
        <v>15</v>
      </c>
      <c r="D50" s="2">
        <v>29.55</v>
      </c>
      <c r="E50" s="7"/>
      <c r="F50" s="7"/>
      <c r="G50" s="2">
        <f t="shared" si="0"/>
        <v>10.45</v>
      </c>
      <c r="H50" s="2"/>
      <c r="I50" s="2"/>
    </row>
    <row r="51" spans="1:9" x14ac:dyDescent="0.25">
      <c r="A51" s="2" t="s">
        <v>10</v>
      </c>
      <c r="B51" s="2">
        <v>2</v>
      </c>
      <c r="C51" s="2" t="s">
        <v>15</v>
      </c>
      <c r="D51" s="2">
        <v>30.52</v>
      </c>
      <c r="E51" s="7"/>
      <c r="F51" s="7"/>
      <c r="G51" s="2">
        <f t="shared" si="0"/>
        <v>9.48</v>
      </c>
      <c r="H51" s="2"/>
      <c r="I51" s="2"/>
    </row>
    <row r="52" spans="1:9" x14ac:dyDescent="0.25">
      <c r="A52" s="2" t="s">
        <v>10</v>
      </c>
      <c r="B52" s="2">
        <v>3</v>
      </c>
      <c r="C52" s="2" t="s">
        <v>15</v>
      </c>
      <c r="D52" s="2">
        <v>33.65</v>
      </c>
      <c r="E52" s="7"/>
      <c r="F52" s="7"/>
      <c r="G52" s="2">
        <f t="shared" si="0"/>
        <v>6.3500000000000014</v>
      </c>
      <c r="H52" s="2"/>
      <c r="I52" s="2"/>
    </row>
    <row r="53" spans="1:9" ht="15.75" x14ac:dyDescent="0.25">
      <c r="A53" s="2" t="s">
        <v>10</v>
      </c>
      <c r="B53" s="2">
        <v>1</v>
      </c>
      <c r="C53" s="2" t="s">
        <v>16</v>
      </c>
      <c r="D53" s="2">
        <v>20.38</v>
      </c>
      <c r="E53" s="18">
        <v>0</v>
      </c>
      <c r="F53" s="18">
        <v>21.24</v>
      </c>
      <c r="G53" s="2">
        <f t="shared" si="0"/>
        <v>19.62</v>
      </c>
      <c r="H53" s="2">
        <v>0</v>
      </c>
      <c r="I53" s="2">
        <f>40-F53</f>
        <v>18.760000000000002</v>
      </c>
    </row>
    <row r="54" spans="1:9" ht="15.75" x14ac:dyDescent="0.25">
      <c r="A54" s="2" t="s">
        <v>10</v>
      </c>
      <c r="B54" s="2">
        <v>2</v>
      </c>
      <c r="C54" s="2" t="s">
        <v>16</v>
      </c>
      <c r="D54" s="2">
        <v>21.86</v>
      </c>
      <c r="E54" s="18">
        <v>0</v>
      </c>
      <c r="F54" s="18">
        <v>22.24</v>
      </c>
      <c r="G54" s="2">
        <f t="shared" si="0"/>
        <v>18.14</v>
      </c>
      <c r="H54" s="2">
        <v>0</v>
      </c>
      <c r="I54" s="2">
        <f t="shared" ref="I54:I55" si="5">40-F54</f>
        <v>17.760000000000002</v>
      </c>
    </row>
    <row r="55" spans="1:9" ht="15.75" x14ac:dyDescent="0.25">
      <c r="A55" s="2" t="s">
        <v>10</v>
      </c>
      <c r="B55" s="2">
        <v>3</v>
      </c>
      <c r="C55" s="2" t="s">
        <v>16</v>
      </c>
      <c r="D55" s="2">
        <v>0</v>
      </c>
      <c r="E55" s="18">
        <v>0</v>
      </c>
      <c r="F55" s="18">
        <v>0</v>
      </c>
      <c r="G55" s="2">
        <v>0</v>
      </c>
      <c r="H55" s="2">
        <v>0</v>
      </c>
      <c r="I55" s="2">
        <v>0</v>
      </c>
    </row>
    <row r="56" spans="1:9" x14ac:dyDescent="0.25">
      <c r="A56" s="2" t="s">
        <v>11</v>
      </c>
      <c r="B56" s="2">
        <v>1</v>
      </c>
      <c r="C56" s="2" t="s">
        <v>14</v>
      </c>
      <c r="D56" s="2">
        <v>32.86</v>
      </c>
      <c r="E56" s="7"/>
      <c r="F56" s="7"/>
      <c r="G56" s="2">
        <f t="shared" si="0"/>
        <v>7.1400000000000006</v>
      </c>
      <c r="H56" s="2"/>
      <c r="I56" s="2"/>
    </row>
    <row r="57" spans="1:9" x14ac:dyDescent="0.25">
      <c r="A57" s="2" t="s">
        <v>11</v>
      </c>
      <c r="B57" s="2">
        <v>2</v>
      </c>
      <c r="C57" s="2" t="s">
        <v>14</v>
      </c>
      <c r="D57" s="2">
        <v>37.04</v>
      </c>
      <c r="E57" s="7"/>
      <c r="F57" s="7"/>
      <c r="G57" s="2">
        <f t="shared" si="0"/>
        <v>2.9600000000000009</v>
      </c>
      <c r="H57" s="2"/>
      <c r="I57" s="2"/>
    </row>
    <row r="58" spans="1:9" x14ac:dyDescent="0.25">
      <c r="A58" s="2" t="s">
        <v>11</v>
      </c>
      <c r="B58" s="2">
        <v>3</v>
      </c>
      <c r="C58" s="2" t="s">
        <v>14</v>
      </c>
      <c r="D58" s="2">
        <v>26.32</v>
      </c>
      <c r="E58" s="7"/>
      <c r="F58" s="7"/>
      <c r="G58" s="2">
        <f t="shared" si="0"/>
        <v>13.68</v>
      </c>
      <c r="H58" s="2"/>
      <c r="I58" s="2"/>
    </row>
    <row r="59" spans="1:9" x14ac:dyDescent="0.25">
      <c r="A59" s="2" t="s">
        <v>11</v>
      </c>
      <c r="B59" s="2">
        <v>1</v>
      </c>
      <c r="C59" s="2" t="s">
        <v>15</v>
      </c>
      <c r="D59" s="2">
        <v>32.5</v>
      </c>
      <c r="E59" s="7"/>
      <c r="F59" s="7"/>
      <c r="G59" s="2">
        <f t="shared" si="0"/>
        <v>7.5</v>
      </c>
      <c r="H59" s="2"/>
      <c r="I59" s="2"/>
    </row>
    <row r="60" spans="1:9" x14ac:dyDescent="0.25">
      <c r="A60" s="2" t="s">
        <v>11</v>
      </c>
      <c r="B60" s="2">
        <v>2</v>
      </c>
      <c r="C60" s="2" t="s">
        <v>15</v>
      </c>
      <c r="D60" s="2">
        <v>31.36</v>
      </c>
      <c r="E60" s="7"/>
      <c r="F60" s="7"/>
      <c r="G60" s="2">
        <f t="shared" si="0"/>
        <v>8.64</v>
      </c>
      <c r="H60" s="2"/>
      <c r="I60" s="2"/>
    </row>
    <row r="61" spans="1:9" x14ac:dyDescent="0.25">
      <c r="A61" s="2" t="s">
        <v>11</v>
      </c>
      <c r="B61" s="2">
        <v>3</v>
      </c>
      <c r="C61" s="2" t="s">
        <v>15</v>
      </c>
      <c r="D61" s="2">
        <v>29.77</v>
      </c>
      <c r="E61" s="7"/>
      <c r="F61" s="7"/>
      <c r="G61" s="2">
        <f t="shared" si="0"/>
        <v>10.23</v>
      </c>
      <c r="H61" s="2"/>
      <c r="I61" s="2"/>
    </row>
    <row r="62" spans="1:9" ht="15.75" x14ac:dyDescent="0.25">
      <c r="A62" s="2" t="s">
        <v>11</v>
      </c>
      <c r="B62" s="2">
        <v>1</v>
      </c>
      <c r="C62" s="2" t="s">
        <v>16</v>
      </c>
      <c r="D62" s="2">
        <v>20.86</v>
      </c>
      <c r="E62" s="18">
        <v>0</v>
      </c>
      <c r="F62" s="18">
        <v>20.68</v>
      </c>
      <c r="G62" s="2">
        <f t="shared" si="0"/>
        <v>19.14</v>
      </c>
      <c r="H62" s="2">
        <v>0</v>
      </c>
      <c r="I62" s="2">
        <f>40-F62</f>
        <v>19.32</v>
      </c>
    </row>
    <row r="63" spans="1:9" ht="15.75" x14ac:dyDescent="0.25">
      <c r="A63" s="2" t="s">
        <v>11</v>
      </c>
      <c r="B63" s="2">
        <v>2</v>
      </c>
      <c r="C63" s="2" t="s">
        <v>16</v>
      </c>
      <c r="D63" s="2">
        <v>21.44</v>
      </c>
      <c r="E63" s="18">
        <v>0</v>
      </c>
      <c r="F63" s="18">
        <v>21.08</v>
      </c>
      <c r="G63" s="2">
        <f t="shared" si="0"/>
        <v>18.559999999999999</v>
      </c>
      <c r="H63" s="2">
        <v>0</v>
      </c>
      <c r="I63" s="2">
        <f t="shared" ref="I63:I64" si="6">40-F63</f>
        <v>18.920000000000002</v>
      </c>
    </row>
    <row r="64" spans="1:9" ht="15.75" x14ac:dyDescent="0.25">
      <c r="A64" s="2" t="s">
        <v>11</v>
      </c>
      <c r="B64" s="2">
        <v>3</v>
      </c>
      <c r="C64" s="2" t="s">
        <v>16</v>
      </c>
      <c r="D64" s="2">
        <v>21.92</v>
      </c>
      <c r="E64" s="18">
        <v>0</v>
      </c>
      <c r="F64" s="18">
        <v>21.34</v>
      </c>
      <c r="G64" s="2">
        <f t="shared" si="0"/>
        <v>18.079999999999998</v>
      </c>
      <c r="H64" s="2">
        <v>0</v>
      </c>
      <c r="I64" s="2">
        <f t="shared" si="6"/>
        <v>18.66</v>
      </c>
    </row>
    <row r="65" spans="1:9" x14ac:dyDescent="0.25">
      <c r="A65" s="2" t="s">
        <v>12</v>
      </c>
      <c r="B65" s="2">
        <v>1</v>
      </c>
      <c r="C65" s="2" t="s">
        <v>14</v>
      </c>
      <c r="D65" s="2">
        <v>23.83</v>
      </c>
      <c r="E65" s="7"/>
      <c r="F65" s="7"/>
      <c r="G65" s="2">
        <f t="shared" si="0"/>
        <v>16.170000000000002</v>
      </c>
      <c r="H65" s="2"/>
      <c r="I65" s="2"/>
    </row>
    <row r="66" spans="1:9" x14ac:dyDescent="0.25">
      <c r="A66" s="2" t="s">
        <v>12</v>
      </c>
      <c r="B66" s="2">
        <v>2</v>
      </c>
      <c r="C66" s="2" t="s">
        <v>14</v>
      </c>
      <c r="D66" s="2">
        <v>24.87</v>
      </c>
      <c r="E66" s="7"/>
      <c r="F66" s="7"/>
      <c r="G66" s="2">
        <f t="shared" si="0"/>
        <v>15.129999999999999</v>
      </c>
      <c r="H66" s="2"/>
      <c r="I66" s="2"/>
    </row>
    <row r="67" spans="1:9" x14ac:dyDescent="0.25">
      <c r="A67" s="2" t="s">
        <v>12</v>
      </c>
      <c r="B67" s="2">
        <v>3</v>
      </c>
      <c r="C67" s="2" t="s">
        <v>14</v>
      </c>
      <c r="D67" s="2">
        <v>24.71</v>
      </c>
      <c r="E67" s="7"/>
      <c r="F67" s="7"/>
      <c r="G67" s="2">
        <f t="shared" ref="G67:G73" si="7">40-D67</f>
        <v>15.29</v>
      </c>
      <c r="H67" s="2"/>
      <c r="I67" s="2"/>
    </row>
    <row r="68" spans="1:9" x14ac:dyDescent="0.25">
      <c r="A68" s="2" t="s">
        <v>12</v>
      </c>
      <c r="B68" s="2">
        <v>1</v>
      </c>
      <c r="C68" s="2" t="s">
        <v>15</v>
      </c>
      <c r="D68" s="2">
        <v>35.799999999999997</v>
      </c>
      <c r="E68" s="7"/>
      <c r="F68" s="7"/>
      <c r="G68" s="2">
        <f t="shared" si="7"/>
        <v>4.2000000000000028</v>
      </c>
      <c r="H68" s="2"/>
      <c r="I68" s="2"/>
    </row>
    <row r="69" spans="1:9" x14ac:dyDescent="0.25">
      <c r="A69" s="2" t="s">
        <v>12</v>
      </c>
      <c r="B69" s="2">
        <v>2</v>
      </c>
      <c r="C69" s="2" t="s">
        <v>15</v>
      </c>
      <c r="D69" s="2">
        <v>29.45</v>
      </c>
      <c r="E69" s="7"/>
      <c r="F69" s="7"/>
      <c r="G69" s="2">
        <f t="shared" si="7"/>
        <v>10.55</v>
      </c>
      <c r="H69" s="2"/>
      <c r="I69" s="2"/>
    </row>
    <row r="70" spans="1:9" x14ac:dyDescent="0.25">
      <c r="A70" s="2" t="s">
        <v>12</v>
      </c>
      <c r="B70" s="2">
        <v>3</v>
      </c>
      <c r="C70" s="2" t="s">
        <v>15</v>
      </c>
      <c r="D70" s="2">
        <v>36.270000000000003</v>
      </c>
      <c r="E70" s="7"/>
      <c r="F70" s="7"/>
      <c r="G70" s="2">
        <f t="shared" si="7"/>
        <v>3.7299999999999969</v>
      </c>
      <c r="H70" s="2"/>
      <c r="I70" s="2"/>
    </row>
    <row r="71" spans="1:9" ht="15.75" x14ac:dyDescent="0.25">
      <c r="A71" s="2" t="s">
        <v>12</v>
      </c>
      <c r="B71" s="2">
        <v>1</v>
      </c>
      <c r="C71" s="2" t="s">
        <v>16</v>
      </c>
      <c r="D71" s="2">
        <v>22.57</v>
      </c>
      <c r="E71" s="18">
        <v>0</v>
      </c>
      <c r="F71" s="18">
        <v>35.25</v>
      </c>
      <c r="G71" s="2">
        <f t="shared" si="7"/>
        <v>17.43</v>
      </c>
      <c r="H71" s="2">
        <v>0</v>
      </c>
      <c r="I71" s="2">
        <f>40-F71</f>
        <v>4.75</v>
      </c>
    </row>
    <row r="72" spans="1:9" ht="15.75" x14ac:dyDescent="0.25">
      <c r="A72" s="2" t="s">
        <v>12</v>
      </c>
      <c r="B72" s="2">
        <v>2</v>
      </c>
      <c r="C72" s="2" t="s">
        <v>16</v>
      </c>
      <c r="D72" s="2">
        <v>0</v>
      </c>
      <c r="E72" s="18">
        <v>0</v>
      </c>
      <c r="F72" s="18">
        <v>0</v>
      </c>
      <c r="G72" s="2">
        <v>0</v>
      </c>
      <c r="H72" s="2">
        <v>0</v>
      </c>
      <c r="I72" s="2">
        <v>0</v>
      </c>
    </row>
    <row r="73" spans="1:9" ht="15.75" x14ac:dyDescent="0.25">
      <c r="A73" s="2" t="s">
        <v>12</v>
      </c>
      <c r="B73" s="2">
        <v>3</v>
      </c>
      <c r="C73" s="2" t="s">
        <v>16</v>
      </c>
      <c r="D73" s="2">
        <v>0</v>
      </c>
      <c r="E73" s="18">
        <v>0</v>
      </c>
      <c r="F73" s="18">
        <v>0</v>
      </c>
      <c r="G73" s="2">
        <v>0</v>
      </c>
      <c r="H73" s="2">
        <v>0</v>
      </c>
      <c r="I73" s="2">
        <v>0</v>
      </c>
    </row>
  </sheetData>
  <dataValidations count="3">
    <dataValidation type="list" allowBlank="1" showInputMessage="1" showErrorMessage="1" sqref="A2:A73" xr:uid="{E6F0965D-B252-4CAF-8678-931A79E004C9}">
      <formula1>"A,B,C,D,E,F,G,H"</formula1>
    </dataValidation>
    <dataValidation type="list" allowBlank="1" showInputMessage="1" showErrorMessage="1" sqref="B2:B73" xr:uid="{70B1FC4A-9FA1-4D76-B754-551594241BE0}">
      <formula1>"1,2,3"</formula1>
    </dataValidation>
    <dataValidation type="list" allowBlank="1" showInputMessage="1" showErrorMessage="1" sqref="C2:C73" xr:uid="{AE1EF619-C0FE-42D0-B92C-BF081FF5213E}">
      <formula1>"Allantoic Fluid,Egg Yolk,Embryo"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Swabs</vt:lpstr>
      <vt:lpstr>Eggs</vt:lpstr>
    </vt:vector>
  </TitlesOfParts>
  <Company>Veterinaermedizinische Universitaet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 Miguel</dc:creator>
  <cp:lastModifiedBy>Matos Miguel</cp:lastModifiedBy>
  <dcterms:created xsi:type="dcterms:W3CDTF">2025-11-10T13:42:21Z</dcterms:created>
  <dcterms:modified xsi:type="dcterms:W3CDTF">2025-11-11T12:57:54Z</dcterms:modified>
</cp:coreProperties>
</file>